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ales" sheetId="2" state="visible" r:id="rId2"/>
    <sheet xmlns:r="http://schemas.openxmlformats.org/officeDocument/2006/relationships" name="Participant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SUS" sheetId="5" state="visible" r:id="rId5"/>
    <sheet xmlns:r="http://schemas.openxmlformats.org/officeDocument/2006/relationships" name="Summary" sheetId="6" state="visible" r:id="rId6"/>
  </sheets>
  <definedNames>
    <definedName name="_xlnm._FilterDatabase" localSheetId="3" hidden="1">'Tasks'!$A$4:$J$100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800000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color rgb="00800000"/>
      <sz val="11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4" borderId="0" pivotButton="0" quotePrefix="0" xfId="0"/>
    <xf numFmtId="0" fontId="3" fillId="3" borderId="0" pivotButton="0" quotePrefix="0" xfId="0"/>
    <xf numFmtId="0" fontId="3" fillId="5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 vertical="center" wrapText="1"/>
    </xf>
    <xf numFmtId="164" fontId="5" fillId="5" borderId="0" pivotButton="0" quotePrefix="0" xfId="0"/>
    <xf numFmtId="0" fontId="4" fillId="2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" fontId="5" fillId="4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0" fontId="9" fillId="0" borderId="4" pivotButton="0" quotePrefix="0" xfId="0"/>
    <xf numFmtId="0" fontId="5" fillId="0" borderId="1" applyAlignment="1" pivotButton="0" quotePrefix="0" xfId="0">
      <alignment vertical="top" wrapText="1"/>
    </xf>
    <xf numFmtId="9" fontId="5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RideShareEU</author>
  </authors>
  <commentList>
    <comment ref="B31" authorId="0" shapeId="0">
      <text>
        <t>From the manuscript's acceptance criteria: mean SUS of 68 or above (the cross-study average reported by Sauro, 2011).</t>
      </text>
    </comment>
  </commentList>
</comments>
</file>

<file path=xl/comments/comment2.xml><?xml version="1.0" encoding="utf-8"?>
<comments xmlns="http://schemas.openxmlformats.org/spreadsheetml/2006/main">
  <authors>
    <author>RideShareEU</author>
  </authors>
  <commentList>
    <comment ref="B4" authorId="0" shapeId="0">
      <text>
        <t>Q1: I think that I would like to use RideShareEU frequently.</t>
      </text>
    </comment>
    <comment ref="C4" authorId="0" shapeId="0">
      <text>
        <t>Q2: I found RideShareEU unnecessarily complex.</t>
      </text>
    </comment>
    <comment ref="D4" authorId="0" shapeId="0">
      <text>
        <t>Q3: I thought RideShareEU was easy to use.</t>
      </text>
    </comment>
    <comment ref="E4" authorId="0" shapeId="0">
      <text>
        <t>Q4: I think that I would need the support of a technical person to be able to use RideShareEU.</t>
      </text>
    </comment>
    <comment ref="F4" authorId="0" shapeId="0">
      <text>
        <t>Q5: I found the various functions in RideShareEU were well integrated.</t>
      </text>
    </comment>
    <comment ref="G4" authorId="0" shapeId="0">
      <text>
        <t>Q6: I thought there was too much inconsistency in RideShareEU.</t>
      </text>
    </comment>
    <comment ref="H4" authorId="0" shapeId="0">
      <text>
        <t>Q7: I would imagine that most people would learn to use RideShareEU very quickly.</t>
      </text>
    </comment>
    <comment ref="I4" authorId="0" shapeId="0">
      <text>
        <t>Q8: I found RideShareEU very cumbersome to use.</t>
      </text>
    </comment>
    <comment ref="J4" authorId="0" shapeId="0">
      <text>
        <t>Q9: I felt very confident using RideShareEU.</t>
      </text>
    </comment>
    <comment ref="K4" authorId="0" shapeId="0">
      <text>
        <t>Q10: I needed to learn a lot of things before I could get going with RideShareEU.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0" customWidth="1" min="13" max="13"/>
  </cols>
  <sheetData>
    <row r="1">
      <c r="A1" s="1" t="inlineStr">
        <is>
          <t>RideShareEU UAT and SUS workbook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Companion to docs/evaluation/uat-sus-protocol.md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How to use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5" t="inlineStr">
        <is>
          <t>1. Participants</t>
        </is>
      </c>
      <c r="B5" s="6" t="inlineStr">
        <is>
          <t>Before each session, fill the participant's row: role, how they use the app, device, consent, date. Anonymous IDs only.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5" t="inlineStr">
        <is>
          <t>2. Tasks</t>
        </is>
      </c>
      <c r="B6" s="6" t="inlineStr">
        <is>
          <t>During the session, fill Outcome, Time, Errors and Ease for each task row of that participant.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5" t="inlineStr">
        <is>
          <t>3. SUS</t>
        </is>
      </c>
      <c r="B7" s="6" t="inlineStr">
        <is>
          <t>Right after the session, the participant answers the 10 SUS items on paper or a form; type the answers into the SUS tab.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5" t="inlineStr">
        <is>
          <t>4. Summary</t>
        </is>
      </c>
      <c r="B8" s="6" t="inlineStr">
        <is>
          <t>Read the results. Nothing on Summary or Scales needs typing.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4" t="inlineStr">
        <is>
          <t>Cell colours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7" t="inlineStr">
        <is>
          <t>Yellow</t>
        </is>
      </c>
      <c r="B10" s="6" t="inlineStr">
        <is>
          <t>Type here.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8" t="inlineStr">
        <is>
          <t>Grey</t>
        </is>
      </c>
      <c r="B11" s="6" t="inlineStr">
        <is>
          <t>Calculated or fixed. Do not type over it.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9" t="inlineStr">
        <is>
          <t>Green</t>
        </is>
      </c>
      <c r="B12" s="6" t="inlineStr">
        <is>
          <t>Example only (below). Not counted anywhere.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4" t="inlineStr">
        <is>
          <t>Outcome codes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5" t="inlineStr">
        <is>
          <t>Completed</t>
        </is>
      </c>
      <c r="B14" s="6" t="inlineStr">
        <is>
          <t>Finished correctly without help.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5" t="inlineStr">
        <is>
          <t>Assisted</t>
        </is>
      </c>
      <c r="B15" s="6" t="inlineStr">
        <is>
          <t>Finished, but only after a moderator hint (any hint after 2 minutes of being stuck).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5" t="inlineStr">
        <is>
          <t>Failed</t>
        </is>
      </c>
      <c r="B16" s="6" t="inlineStr">
        <is>
          <t>Gave up, ran out of the 5-minute limit, or finished with the wrong result.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5" t="inlineStr">
        <is>
          <t>Errors</t>
        </is>
      </c>
      <c r="B17" s="6" t="inlineStr">
        <is>
          <t>Count wrong taps that needed backing out, validation messages triggered, and wrong-page visits.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5" t="inlineStr">
        <is>
          <t>Ease (1-5)</t>
        </is>
      </c>
      <c r="B18" s="6" t="inlineStr">
        <is>
          <t>Asked after each task: 'How easy was that task?' 1 = very difficult, 5 = very easy.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4" t="inlineStr">
        <is>
          <t>Example SUS row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5" t="inlineStr">
        <is>
          <t>Participant</t>
        </is>
      </c>
      <c r="B21" s="2" t="n"/>
      <c r="C21" s="10" t="n"/>
      <c r="D21" s="10" t="inlineStr">
        <is>
          <t>Q1</t>
        </is>
      </c>
      <c r="E21" s="10" t="inlineStr">
        <is>
          <t>Q2</t>
        </is>
      </c>
      <c r="F21" s="10" t="inlineStr">
        <is>
          <t>Q3</t>
        </is>
      </c>
      <c r="G21" s="10" t="inlineStr">
        <is>
          <t>Q4</t>
        </is>
      </c>
      <c r="H21" s="10" t="inlineStr">
        <is>
          <t>Q5</t>
        </is>
      </c>
      <c r="I21" s="10" t="inlineStr">
        <is>
          <t>Q6</t>
        </is>
      </c>
      <c r="J21" s="10" t="inlineStr">
        <is>
          <t>Q7</t>
        </is>
      </c>
      <c r="K21" s="10" t="inlineStr">
        <is>
          <t>Q8</t>
        </is>
      </c>
      <c r="L21" s="10" t="inlineStr">
        <is>
          <t>Q9</t>
        </is>
      </c>
      <c r="M21" s="5" t="inlineStr">
        <is>
          <t>Q10</t>
        </is>
      </c>
      <c r="N21" s="11" t="inlineStr">
        <is>
          <t>SUS score</t>
        </is>
      </c>
    </row>
    <row r="22">
      <c r="A22" s="12" t="inlineStr">
        <is>
          <t>EXAMPLE</t>
        </is>
      </c>
      <c r="B22" s="2" t="n"/>
      <c r="C22" s="13" t="n">
        <v>4</v>
      </c>
      <c r="D22" s="13" t="n">
        <v>2</v>
      </c>
      <c r="E22" s="13" t="n">
        <v>4</v>
      </c>
      <c r="F22" s="13" t="n">
        <v>1</v>
      </c>
      <c r="G22" s="13" t="n">
        <v>4</v>
      </c>
      <c r="H22" s="13" t="n">
        <v>2</v>
      </c>
      <c r="I22" s="13" t="n">
        <v>5</v>
      </c>
      <c r="J22" s="13" t="n">
        <v>2</v>
      </c>
      <c r="K22" s="13" t="n">
        <v>4</v>
      </c>
      <c r="L22" s="13" t="n">
        <v>2</v>
      </c>
      <c r="M22" s="14">
        <f>((C22-1)+(5-D22)+(E22-1)+(5-F22)+(G22-1)+(5-H22)+(I22-1)+(5-J22)+(K22-1)+(5-L22))*2.5</f>
        <v/>
      </c>
      <c r="N22" s="2" t="n"/>
    </row>
    <row r="23">
      <c r="A23" s="5" t="inlineStr">
        <is>
          <t>Scoring</t>
        </is>
      </c>
      <c r="B23" s="6" t="inlineStr">
        <is>
          <t>Odd items: answer - 1. Even items: 5 - answer. Add the ten, multiply by 2.5. The example scores (3+3+3+4+3+3+4+3+3+3) x 2.5 = 80.0.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4" t="inlineStr">
        <is>
          <t>SUS items (Brooke, 1996)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5" t="inlineStr">
        <is>
          <t>Q1</t>
        </is>
      </c>
      <c r="B26" s="6" t="inlineStr">
        <is>
          <t>I think that I would like to use RideShareEU frequently.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5" t="inlineStr">
        <is>
          <t>Q2</t>
        </is>
      </c>
      <c r="B27" s="6" t="inlineStr">
        <is>
          <t>I found RideShareEU unnecessarily complex.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5" t="inlineStr">
        <is>
          <t>Q3</t>
        </is>
      </c>
      <c r="B28" s="6" t="inlineStr">
        <is>
          <t>I thought RideShareEU was easy to use.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5" t="inlineStr">
        <is>
          <t>Q4</t>
        </is>
      </c>
      <c r="B29" s="6" t="inlineStr">
        <is>
          <t>I think that I would need the support of a technical person to be able to use RideShareEU.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5" t="inlineStr">
        <is>
          <t>Q5</t>
        </is>
      </c>
      <c r="B30" s="6" t="inlineStr">
        <is>
          <t>I found the various functions in RideShareEU were well integrated.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5" t="inlineStr">
        <is>
          <t>Q6</t>
        </is>
      </c>
      <c r="B31" s="6" t="inlineStr">
        <is>
          <t>I thought there was too much inconsistency in RideShareEU.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5" t="inlineStr">
        <is>
          <t>Q7</t>
        </is>
      </c>
      <c r="B32" s="6" t="inlineStr">
        <is>
          <t>I would imagine that most people would learn to use RideShareEU very quickly.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5" t="inlineStr">
        <is>
          <t>Q8</t>
        </is>
      </c>
      <c r="B33" s="6" t="inlineStr">
        <is>
          <t>I found RideShareEU very cumbersome to use.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5" t="inlineStr">
        <is>
          <t>Q9</t>
        </is>
      </c>
      <c r="B34" s="6" t="inlineStr">
        <is>
          <t>I felt very confident using RideShareEU.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5" t="inlineStr">
        <is>
          <t>Q10</t>
        </is>
      </c>
      <c r="B35" s="6" t="inlineStr">
        <is>
          <t>I needed to learn a lot of things before I could get going with RideShareEU.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4" customWidth="1" min="4" max="4"/>
    <col width="16" customWidth="1" min="5" max="5"/>
    <col width="34" customWidth="1" min="6" max="6"/>
    <col width="30" customWidth="1" min="7" max="7"/>
  </cols>
  <sheetData>
    <row r="1">
      <c r="A1" s="1" t="inlineStr">
        <is>
          <t>Interpretation scales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Lookup tables used by the Summary and SUS tabs. Lower bound = the smallest score that earns the label.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5" t="inlineStr">
        <is>
          <t>Task ease rating (5-point Likert weighted mean)</t>
        </is>
      </c>
      <c r="B4" s="2" t="n"/>
      <c r="C4" s="2" t="n"/>
      <c r="D4" s="2" t="n"/>
      <c r="E4" s="2" t="n"/>
      <c r="F4" s="2" t="n"/>
      <c r="G4" s="2" t="n"/>
    </row>
    <row r="5">
      <c r="A5" s="15" t="inlineStr">
        <is>
          <t>Lower bound</t>
        </is>
      </c>
      <c r="B5" s="15" t="inlineStr">
        <is>
          <t>Upper bound</t>
        </is>
      </c>
      <c r="C5" s="15" t="inlineStr">
        <is>
          <t>Interpretation</t>
        </is>
      </c>
      <c r="D5" s="2" t="n"/>
      <c r="E5" s="2" t="n"/>
      <c r="F5" s="2" t="n"/>
      <c r="G5" s="2" t="n"/>
    </row>
    <row r="6">
      <c r="A6" s="16" t="n">
        <v>1</v>
      </c>
      <c r="B6" s="16" t="n">
        <v>1.8</v>
      </c>
      <c r="C6" s="17" t="inlineStr">
        <is>
          <t>Very difficult</t>
        </is>
      </c>
      <c r="D6" s="2" t="n"/>
      <c r="E6" s="2" t="n"/>
      <c r="F6" s="2" t="n"/>
      <c r="G6" s="2" t="n"/>
    </row>
    <row r="7">
      <c r="A7" s="16" t="n">
        <v>1.81</v>
      </c>
      <c r="B7" s="16" t="n">
        <v>2.6</v>
      </c>
      <c r="C7" s="17" t="inlineStr">
        <is>
          <t>Difficult</t>
        </is>
      </c>
      <c r="D7" s="2" t="n"/>
      <c r="E7" s="2" t="n"/>
      <c r="F7" s="2" t="n"/>
      <c r="G7" s="2" t="n"/>
    </row>
    <row r="8">
      <c r="A8" s="16" t="n">
        <v>2.61</v>
      </c>
      <c r="B8" s="16" t="n">
        <v>3.4</v>
      </c>
      <c r="C8" s="17" t="inlineStr">
        <is>
          <t>Neutral</t>
        </is>
      </c>
      <c r="D8" s="2" t="n"/>
      <c r="E8" s="2" t="n"/>
      <c r="F8" s="2" t="n"/>
      <c r="G8" s="2" t="n"/>
    </row>
    <row r="9">
      <c r="A9" s="16" t="n">
        <v>3.41</v>
      </c>
      <c r="B9" s="16" t="n">
        <v>4.2</v>
      </c>
      <c r="C9" s="17" t="inlineStr">
        <is>
          <t>Easy</t>
        </is>
      </c>
      <c r="D9" s="2" t="n"/>
      <c r="E9" s="2" t="n"/>
      <c r="F9" s="2" t="n"/>
      <c r="G9" s="2" t="n"/>
    </row>
    <row r="10">
      <c r="A10" s="16" t="n">
        <v>4.21</v>
      </c>
      <c r="B10" s="16" t="n">
        <v>5</v>
      </c>
      <c r="C10" s="17" t="inlineStr">
        <is>
          <t>Very easy</t>
        </is>
      </c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5" t="inlineStr">
        <is>
          <t>SUS adjective rating</t>
        </is>
      </c>
      <c r="B13" s="2" t="n"/>
      <c r="C13" s="2" t="n"/>
      <c r="D13" s="2" t="n"/>
      <c r="E13" s="2" t="n"/>
      <c r="F13" s="2" t="n"/>
      <c r="G13" s="2" t="n"/>
    </row>
    <row r="14">
      <c r="A14" s="15" t="inlineStr">
        <is>
          <t>Lower bound</t>
        </is>
      </c>
      <c r="B14" s="15" t="inlineStr">
        <is>
          <t>Adjective</t>
        </is>
      </c>
      <c r="C14" s="2" t="n"/>
      <c r="D14" s="2" t="n"/>
      <c r="E14" s="2" t="n"/>
      <c r="F14" s="2" t="n"/>
      <c r="G14" s="2" t="n"/>
    </row>
    <row r="15">
      <c r="A15" s="18" t="n">
        <v>0</v>
      </c>
      <c r="B15" s="17" t="inlineStr">
        <is>
          <t>Worst imaginable</t>
        </is>
      </c>
      <c r="C15" s="2" t="n"/>
      <c r="D15" s="2" t="n"/>
      <c r="E15" s="2" t="n"/>
      <c r="F15" s="2" t="n"/>
      <c r="G15" s="2" t="n"/>
    </row>
    <row r="16">
      <c r="A16" s="18" t="n">
        <v>20.3</v>
      </c>
      <c r="B16" s="17" t="inlineStr">
        <is>
          <t>Awful</t>
        </is>
      </c>
      <c r="C16" s="2" t="n"/>
      <c r="D16" s="2" t="n"/>
      <c r="E16" s="2" t="n"/>
      <c r="F16" s="2" t="n"/>
      <c r="G16" s="2" t="n"/>
    </row>
    <row r="17">
      <c r="A17" s="18" t="n">
        <v>35.7</v>
      </c>
      <c r="B17" s="17" t="inlineStr">
        <is>
          <t>Poor</t>
        </is>
      </c>
      <c r="C17" s="2" t="n"/>
      <c r="D17" s="2" t="n"/>
      <c r="E17" s="2" t="n"/>
      <c r="F17" s="2" t="n"/>
      <c r="G17" s="2" t="n"/>
    </row>
    <row r="18">
      <c r="A18" s="18" t="n">
        <v>50.9</v>
      </c>
      <c r="B18" s="17" t="inlineStr">
        <is>
          <t>OK</t>
        </is>
      </c>
      <c r="C18" s="2" t="n"/>
      <c r="D18" s="2" t="n"/>
      <c r="E18" s="2" t="n"/>
      <c r="F18" s="2" t="n"/>
      <c r="G18" s="2" t="n"/>
    </row>
    <row r="19">
      <c r="A19" s="18" t="n">
        <v>71.40000000000001</v>
      </c>
      <c r="B19" s="17" t="inlineStr">
        <is>
          <t>Good</t>
        </is>
      </c>
      <c r="C19" s="2" t="n"/>
      <c r="D19" s="2" t="n"/>
      <c r="E19" s="2" t="n"/>
      <c r="F19" s="2" t="n"/>
      <c r="G19" s="2" t="n"/>
    </row>
    <row r="20">
      <c r="A20" s="18" t="n">
        <v>85.5</v>
      </c>
      <c r="B20" s="17" t="inlineStr">
        <is>
          <t>Excellent</t>
        </is>
      </c>
      <c r="C20" s="2" t="n"/>
      <c r="D20" s="2" t="n"/>
      <c r="E20" s="2" t="n"/>
      <c r="F20" s="2" t="n"/>
      <c r="G20" s="2" t="n"/>
    </row>
    <row r="21">
      <c r="A21" s="18" t="n">
        <v>90.90000000000001</v>
      </c>
      <c r="B21" s="17" t="inlineStr">
        <is>
          <t>Best imaginable</t>
        </is>
      </c>
      <c r="C21" s="2" t="n"/>
      <c r="D21" s="2" t="n"/>
      <c r="E21" s="2" t="n"/>
      <c r="F21" s="2" t="n"/>
      <c r="G21" s="2" t="n"/>
    </row>
    <row r="22">
      <c r="A22" s="19" t="inlineStr">
        <is>
          <t>Source: Bangor, Kortum &amp; Miller (2009), 'Determining what individual SUS scores mean: adding an adjective rating scale', J. Usability Studies 4(3). Each lower bound is the mean SUS score participants gave alongside that adjective; a score gets the highest adjective whose mean it reaches.</t>
        </is>
      </c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SUS acceptability</t>
        </is>
      </c>
      <c r="B24" s="2" t="n"/>
      <c r="C24" s="2" t="n"/>
      <c r="D24" s="2" t="n"/>
      <c r="E24" s="2" t="n"/>
      <c r="F24" s="2" t="n"/>
      <c r="G24" s="2" t="n"/>
    </row>
    <row r="25">
      <c r="A25" s="15" t="inlineStr">
        <is>
          <t>Lower bound</t>
        </is>
      </c>
      <c r="B25" s="15" t="inlineStr">
        <is>
          <t>Acceptability</t>
        </is>
      </c>
      <c r="C25" s="2" t="n"/>
      <c r="D25" s="2" t="n"/>
      <c r="E25" s="2" t="n"/>
      <c r="F25" s="2" t="n"/>
      <c r="G25" s="2" t="n"/>
    </row>
    <row r="26">
      <c r="A26" s="18" t="n">
        <v>0</v>
      </c>
      <c r="B26" s="17" t="inlineStr">
        <is>
          <t>Not acceptable</t>
        </is>
      </c>
      <c r="C26" s="2" t="n"/>
      <c r="D26" s="2" t="n"/>
      <c r="E26" s="2" t="n"/>
      <c r="F26" s="2" t="n"/>
      <c r="G26" s="2" t="n"/>
    </row>
    <row r="27">
      <c r="A27" s="18" t="n">
        <v>50</v>
      </c>
      <c r="B27" s="17" t="inlineStr">
        <is>
          <t>Marginal</t>
        </is>
      </c>
      <c r="C27" s="2" t="n"/>
      <c r="D27" s="2" t="n"/>
      <c r="E27" s="2" t="n"/>
      <c r="F27" s="2" t="n"/>
      <c r="G27" s="2" t="n"/>
    </row>
    <row r="28">
      <c r="A28" s="18" t="n">
        <v>70</v>
      </c>
      <c r="B28" s="17" t="inlineStr">
        <is>
          <t>Acceptable</t>
        </is>
      </c>
      <c r="C28" s="2" t="n"/>
      <c r="D28" s="2" t="n"/>
      <c r="E28" s="2" t="n"/>
      <c r="F28" s="2" t="n"/>
      <c r="G28" s="2" t="n"/>
    </row>
    <row r="29">
      <c r="A29" s="19" t="inlineStr">
        <is>
          <t>Source: Bangor, Kortum &amp; Miller (2008), 'An empirical evaluation of the System Usability Scale', IJHCI 24(6).</t>
        </is>
      </c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5" t="inlineStr">
        <is>
          <t>Acceptance threshold (mean SUS)</t>
        </is>
      </c>
      <c r="B31" s="20" t="n">
        <v>68</v>
      </c>
      <c r="C31" s="2" t="n"/>
      <c r="D31" s="2" t="n"/>
      <c r="E31" s="2" t="n"/>
      <c r="F31" s="2" t="n"/>
      <c r="G31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18" customWidth="1" min="5" max="5"/>
    <col width="14" customWidth="1" min="6" max="6"/>
    <col width="50" customWidth="1" min="7" max="7"/>
  </cols>
  <sheetData>
    <row r="1">
      <c r="A1" s="1" t="inlineStr">
        <is>
          <t>Participants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Anonymous IDs only. Do not record names, emails, student numbers or phone numbers here (RA 10173).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15" t="inlineStr">
        <is>
          <t>ID</t>
        </is>
      </c>
      <c r="B4" s="15" t="inlineStr">
        <is>
          <t>Role</t>
        </is>
      </c>
      <c r="C4" s="15" t="inlineStr">
        <is>
          <t>Mainly uses the app as</t>
        </is>
      </c>
      <c r="D4" s="15" t="inlineStr">
        <is>
          <t>Device / browser</t>
        </is>
      </c>
      <c r="E4" s="15" t="inlineStr">
        <is>
          <t>Consent form signed</t>
        </is>
      </c>
      <c r="F4" s="15" t="inlineStr">
        <is>
          <t>Session date</t>
        </is>
      </c>
      <c r="G4" s="15" t="inlineStr">
        <is>
          <t>Moderator notes</t>
        </is>
      </c>
    </row>
    <row r="5">
      <c r="A5" s="21" t="inlineStr">
        <is>
          <t>P01</t>
        </is>
      </c>
      <c r="B5" s="22" t="n"/>
      <c r="C5" s="22" t="n"/>
      <c r="D5" s="22" t="n"/>
      <c r="E5" s="22" t="n"/>
      <c r="F5" s="23" t="n"/>
      <c r="G5" s="24" t="n"/>
    </row>
    <row r="6">
      <c r="A6" s="21" t="inlineStr">
        <is>
          <t>P02</t>
        </is>
      </c>
      <c r="B6" s="22" t="n"/>
      <c r="C6" s="22" t="n"/>
      <c r="D6" s="22" t="n"/>
      <c r="E6" s="22" t="n"/>
      <c r="F6" s="23" t="n"/>
      <c r="G6" s="24" t="n"/>
    </row>
    <row r="7">
      <c r="A7" s="21" t="inlineStr">
        <is>
          <t>P03</t>
        </is>
      </c>
      <c r="B7" s="22" t="n"/>
      <c r="C7" s="22" t="n"/>
      <c r="D7" s="22" t="n"/>
      <c r="E7" s="22" t="n"/>
      <c r="F7" s="23" t="n"/>
      <c r="G7" s="24" t="n"/>
    </row>
    <row r="8">
      <c r="A8" s="21" t="inlineStr">
        <is>
          <t>P04</t>
        </is>
      </c>
      <c r="B8" s="22" t="n"/>
      <c r="C8" s="22" t="n"/>
      <c r="D8" s="22" t="n"/>
      <c r="E8" s="22" t="n"/>
      <c r="F8" s="23" t="n"/>
      <c r="G8" s="24" t="n"/>
    </row>
    <row r="9">
      <c r="A9" s="21" t="inlineStr">
        <is>
          <t>P05</t>
        </is>
      </c>
      <c r="B9" s="22" t="n"/>
      <c r="C9" s="22" t="n"/>
      <c r="D9" s="22" t="n"/>
      <c r="E9" s="22" t="n"/>
      <c r="F9" s="23" t="n"/>
      <c r="G9" s="24" t="n"/>
    </row>
    <row r="10">
      <c r="A10" s="21" t="inlineStr">
        <is>
          <t>P06</t>
        </is>
      </c>
      <c r="B10" s="22" t="n"/>
      <c r="C10" s="22" t="n"/>
      <c r="D10" s="22" t="n"/>
      <c r="E10" s="22" t="n"/>
      <c r="F10" s="23" t="n"/>
      <c r="G10" s="24" t="n"/>
    </row>
    <row r="11">
      <c r="A11" s="21" t="inlineStr">
        <is>
          <t>P07</t>
        </is>
      </c>
      <c r="B11" s="22" t="n"/>
      <c r="C11" s="22" t="n"/>
      <c r="D11" s="22" t="n"/>
      <c r="E11" s="22" t="n"/>
      <c r="F11" s="23" t="n"/>
      <c r="G11" s="24" t="n"/>
    </row>
    <row r="12">
      <c r="A12" s="21" t="inlineStr">
        <is>
          <t>P08</t>
        </is>
      </c>
      <c r="B12" s="22" t="n"/>
      <c r="C12" s="22" t="n"/>
      <c r="D12" s="22" t="n"/>
      <c r="E12" s="22" t="n"/>
      <c r="F12" s="23" t="n"/>
      <c r="G12" s="24" t="n"/>
    </row>
    <row r="13">
      <c r="A13" s="21" t="inlineStr">
        <is>
          <t>P09</t>
        </is>
      </c>
      <c r="B13" s="22" t="n"/>
      <c r="C13" s="22" t="n"/>
      <c r="D13" s="22" t="n"/>
      <c r="E13" s="22" t="n"/>
      <c r="F13" s="23" t="n"/>
      <c r="G13" s="24" t="n"/>
    </row>
    <row r="14">
      <c r="A14" s="21" t="inlineStr">
        <is>
          <t>P10</t>
        </is>
      </c>
      <c r="B14" s="22" t="n"/>
      <c r="C14" s="22" t="n"/>
      <c r="D14" s="22" t="n"/>
      <c r="E14" s="22" t="n"/>
      <c r="F14" s="23" t="n"/>
      <c r="G14" s="24" t="n"/>
    </row>
    <row r="15">
      <c r="A15" s="21" t="inlineStr">
        <is>
          <t>P11</t>
        </is>
      </c>
      <c r="B15" s="22" t="n"/>
      <c r="C15" s="22" t="n"/>
      <c r="D15" s="22" t="n"/>
      <c r="E15" s="22" t="n"/>
      <c r="F15" s="23" t="n"/>
      <c r="G15" s="24" t="n"/>
    </row>
    <row r="16">
      <c r="A16" s="21" t="inlineStr">
        <is>
          <t>P12</t>
        </is>
      </c>
      <c r="B16" s="22" t="n"/>
      <c r="C16" s="22" t="n"/>
      <c r="D16" s="22" t="n"/>
      <c r="E16" s="22" t="n"/>
      <c r="F16" s="23" t="n"/>
      <c r="G16" s="24" t="n"/>
    </row>
  </sheetData>
  <dataValidations count="4">
    <dataValidation sqref="B5:B16" showDropDown="0" showInputMessage="0" showErrorMessage="0" allowBlank="1" type="list">
      <formula1>"Student,Faculty,Staff"</formula1>
    </dataValidation>
    <dataValidation sqref="C5:C16" showDropDown="0" showInputMessage="0" showErrorMessage="0" allowBlank="1" type="list">
      <formula1>"Host,Passenger,Both"</formula1>
    </dataValidation>
    <dataValidation sqref="E5:E16" showDropDown="0" showInputMessage="0" showErrorMessage="0" allowBlank="1" type="list">
      <formula1>"Yes,No"</formula1>
    </dataValidation>
    <dataValidation sqref="F5:F16" showDropDown="0" showInputMessage="0" showErrorMessage="0" allowBlank="1" type="date" operator="greaterThan">
      <formula1>46023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1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46" customWidth="1" min="3" max="3"/>
    <col width="14" customWidth="1" min="4" max="4"/>
    <col width="28" customWidth="1" min="5" max="5"/>
    <col width="13" customWidth="1" min="6" max="6"/>
    <col width="10" customWidth="1" min="7" max="7"/>
    <col width="9" customWidth="1" min="8" max="8"/>
    <col width="10" customWidth="1" min="9" max="9"/>
    <col width="44" customWidth="1" min="10" max="10"/>
  </cols>
  <sheetData>
    <row r="1">
      <c r="A1" s="1" t="inlineStr">
        <is>
          <t>Task observations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One row per participant per task. Fill the yellow cells; leave a skipped task's row blank.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5" t="inlineStr">
        <is>
          <t>Participant</t>
        </is>
      </c>
      <c r="B4" s="15" t="inlineStr">
        <is>
          <t>Task #</t>
        </is>
      </c>
      <c r="C4" s="15" t="inlineStr">
        <is>
          <t>Task</t>
        </is>
      </c>
      <c r="D4" s="15" t="inlineStr">
        <is>
          <t>Type</t>
        </is>
      </c>
      <c r="E4" s="15" t="inlineStr">
        <is>
          <t>ISO/IEC 25010 sub-characteristic</t>
        </is>
      </c>
      <c r="F4" s="15" t="inlineStr">
        <is>
          <t>Outcome</t>
        </is>
      </c>
      <c r="G4" s="15" t="inlineStr">
        <is>
          <t>Time (s)</t>
        </is>
      </c>
      <c r="H4" s="15" t="inlineStr">
        <is>
          <t>Errors</t>
        </is>
      </c>
      <c r="I4" s="15" t="inlineStr">
        <is>
          <t>Ease (1-5)</t>
        </is>
      </c>
      <c r="J4" s="15" t="inlineStr">
        <is>
          <t>Observer notes</t>
        </is>
      </c>
    </row>
    <row r="5">
      <c r="A5" s="21" t="inlineStr">
        <is>
          <t>P01</t>
        </is>
      </c>
      <c r="B5" s="21" t="n">
        <v>1</v>
      </c>
      <c r="C5" s="25" t="inlineStr">
        <is>
          <t>Register an account (email code, password, profile)</t>
        </is>
      </c>
      <c r="D5" s="21" t="inlineStr">
        <is>
          <t>Core</t>
        </is>
      </c>
      <c r="E5" s="25" t="inlineStr">
        <is>
          <t>User error protection</t>
        </is>
      </c>
      <c r="F5" s="22" t="n"/>
      <c r="G5" s="26" t="n"/>
      <c r="H5" s="26" t="n"/>
      <c r="I5" s="26" t="n"/>
      <c r="J5" s="24" t="n"/>
    </row>
    <row r="6">
      <c r="A6" s="21" t="inlineStr">
        <is>
          <t>P01</t>
        </is>
      </c>
      <c r="B6" s="21" t="n">
        <v>2</v>
      </c>
      <c r="C6" s="25" t="inlineStr">
        <is>
          <t>Post a trip (vehicle, route, schedule, seats, fuel price)</t>
        </is>
      </c>
      <c r="D6" s="21" t="inlineStr">
        <is>
          <t>Core</t>
        </is>
      </c>
      <c r="E6" s="25" t="inlineStr">
        <is>
          <t>Operability</t>
        </is>
      </c>
      <c r="F6" s="22" t="n"/>
      <c r="G6" s="26" t="n"/>
      <c r="H6" s="26" t="n"/>
      <c r="I6" s="26" t="n"/>
      <c r="J6" s="24" t="n"/>
    </row>
    <row r="7">
      <c r="A7" s="21" t="inlineStr">
        <is>
          <t>P01</t>
        </is>
      </c>
      <c r="B7" s="21" t="n">
        <v>3</v>
      </c>
      <c r="C7" s="25" t="inlineStr">
        <is>
          <t>Search for a ride and send a join request</t>
        </is>
      </c>
      <c r="D7" s="21" t="inlineStr">
        <is>
          <t>Core</t>
        </is>
      </c>
      <c r="E7" s="25" t="inlineStr">
        <is>
          <t>Appropriateness recognizability</t>
        </is>
      </c>
      <c r="F7" s="22" t="n"/>
      <c r="G7" s="26" t="n"/>
      <c r="H7" s="26" t="n"/>
      <c r="I7" s="26" t="n"/>
      <c r="J7" s="24" t="n"/>
    </row>
    <row r="8">
      <c r="A8" s="21" t="inlineStr">
        <is>
          <t>P01</t>
        </is>
      </c>
      <c r="B8" s="21" t="n">
        <v>4</v>
      </c>
      <c r="C8" s="25" t="inlineStr">
        <is>
          <t>Approve a join request on your trip</t>
        </is>
      </c>
      <c r="D8" s="21" t="inlineStr">
        <is>
          <t>Core</t>
        </is>
      </c>
      <c r="E8" s="25" t="inlineStr">
        <is>
          <t>Operability</t>
        </is>
      </c>
      <c r="F8" s="22" t="n"/>
      <c r="G8" s="26" t="n"/>
      <c r="H8" s="26" t="n"/>
      <c r="I8" s="26" t="n"/>
      <c r="J8" s="24" t="n"/>
    </row>
    <row r="9">
      <c r="A9" s="21" t="inlineStr">
        <is>
          <t>P01</t>
        </is>
      </c>
      <c r="B9" s="21" t="n">
        <v>5</v>
      </c>
      <c r="C9" s="25" t="inlineStr">
        <is>
          <t>Send a message in the trip chat</t>
        </is>
      </c>
      <c r="D9" s="21" t="inlineStr">
        <is>
          <t>Supplementary</t>
        </is>
      </c>
      <c r="E9" s="25" t="inlineStr">
        <is>
          <t>Operability</t>
        </is>
      </c>
      <c r="F9" s="22" t="n"/>
      <c r="G9" s="26" t="n"/>
      <c r="H9" s="26" t="n"/>
      <c r="I9" s="26" t="n"/>
      <c r="J9" s="24" t="n"/>
    </row>
    <row r="10">
      <c r="A10" s="21" t="inlineStr">
        <is>
          <t>P01</t>
        </is>
      </c>
      <c r="B10" s="21" t="n">
        <v>6</v>
      </c>
      <c r="C10" s="25" t="inlineStr">
        <is>
          <t>Rate the host after the trip is completed</t>
        </is>
      </c>
      <c r="D10" s="21" t="inlineStr">
        <is>
          <t>Core</t>
        </is>
      </c>
      <c r="E10" s="25" t="inlineStr">
        <is>
          <t>Learnability</t>
        </is>
      </c>
      <c r="F10" s="22" t="n"/>
      <c r="G10" s="26" t="n"/>
      <c r="H10" s="26" t="n"/>
      <c r="I10" s="26" t="n"/>
      <c r="J10" s="24" t="n"/>
    </row>
    <row r="11">
      <c r="A11" s="21" t="inlineStr">
        <is>
          <t>P01</t>
        </is>
      </c>
      <c r="B11" s="21" t="n">
        <v>7</v>
      </c>
      <c r="C11" s="25" t="inlineStr">
        <is>
          <t>Change ride preferences</t>
        </is>
      </c>
      <c r="D11" s="21" t="inlineStr">
        <is>
          <t>Supplementary</t>
        </is>
      </c>
      <c r="E11" s="25" t="inlineStr">
        <is>
          <t>Learnability</t>
        </is>
      </c>
      <c r="F11" s="22" t="n"/>
      <c r="G11" s="26" t="n"/>
      <c r="H11" s="26" t="n"/>
      <c r="I11" s="26" t="n"/>
      <c r="J11" s="24" t="n"/>
    </row>
    <row r="12">
      <c r="A12" s="21" t="inlineStr">
        <is>
          <t>P01</t>
        </is>
      </c>
      <c r="B12" s="21" t="n">
        <v>8</v>
      </c>
      <c r="C12" s="25" t="inlineStr">
        <is>
          <t>Report a user and view report history</t>
        </is>
      </c>
      <c r="D12" s="21" t="inlineStr">
        <is>
          <t>Supplementary</t>
        </is>
      </c>
      <c r="E12" s="25" t="inlineStr">
        <is>
          <t>User error protection</t>
        </is>
      </c>
      <c r="F12" s="22" t="n"/>
      <c r="G12" s="26" t="n"/>
      <c r="H12" s="26" t="n"/>
      <c r="I12" s="26" t="n"/>
      <c r="J12" s="24" t="n"/>
    </row>
    <row r="13">
      <c r="A13" s="21" t="inlineStr">
        <is>
          <t>P02</t>
        </is>
      </c>
      <c r="B13" s="21" t="n">
        <v>1</v>
      </c>
      <c r="C13" s="25" t="inlineStr">
        <is>
          <t>Register an account (email code, password, profile)</t>
        </is>
      </c>
      <c r="D13" s="21" t="inlineStr">
        <is>
          <t>Core</t>
        </is>
      </c>
      <c r="E13" s="25" t="inlineStr">
        <is>
          <t>User error protection</t>
        </is>
      </c>
      <c r="F13" s="22" t="n"/>
      <c r="G13" s="26" t="n"/>
      <c r="H13" s="26" t="n"/>
      <c r="I13" s="26" t="n"/>
      <c r="J13" s="24" t="n"/>
    </row>
    <row r="14">
      <c r="A14" s="21" t="inlineStr">
        <is>
          <t>P02</t>
        </is>
      </c>
      <c r="B14" s="21" t="n">
        <v>2</v>
      </c>
      <c r="C14" s="25" t="inlineStr">
        <is>
          <t>Post a trip (vehicle, route, schedule, seats, fuel price)</t>
        </is>
      </c>
      <c r="D14" s="21" t="inlineStr">
        <is>
          <t>Core</t>
        </is>
      </c>
      <c r="E14" s="25" t="inlineStr">
        <is>
          <t>Operability</t>
        </is>
      </c>
      <c r="F14" s="22" t="n"/>
      <c r="G14" s="26" t="n"/>
      <c r="H14" s="26" t="n"/>
      <c r="I14" s="26" t="n"/>
      <c r="J14" s="24" t="n"/>
    </row>
    <row r="15">
      <c r="A15" s="21" t="inlineStr">
        <is>
          <t>P02</t>
        </is>
      </c>
      <c r="B15" s="21" t="n">
        <v>3</v>
      </c>
      <c r="C15" s="25" t="inlineStr">
        <is>
          <t>Search for a ride and send a join request</t>
        </is>
      </c>
      <c r="D15" s="21" t="inlineStr">
        <is>
          <t>Core</t>
        </is>
      </c>
      <c r="E15" s="25" t="inlineStr">
        <is>
          <t>Appropriateness recognizability</t>
        </is>
      </c>
      <c r="F15" s="22" t="n"/>
      <c r="G15" s="26" t="n"/>
      <c r="H15" s="26" t="n"/>
      <c r="I15" s="26" t="n"/>
      <c r="J15" s="24" t="n"/>
    </row>
    <row r="16">
      <c r="A16" s="21" t="inlineStr">
        <is>
          <t>P02</t>
        </is>
      </c>
      <c r="B16" s="21" t="n">
        <v>4</v>
      </c>
      <c r="C16" s="25" t="inlineStr">
        <is>
          <t>Approve a join request on your trip</t>
        </is>
      </c>
      <c r="D16" s="21" t="inlineStr">
        <is>
          <t>Core</t>
        </is>
      </c>
      <c r="E16" s="25" t="inlineStr">
        <is>
          <t>Operability</t>
        </is>
      </c>
      <c r="F16" s="22" t="n"/>
      <c r="G16" s="26" t="n"/>
      <c r="H16" s="26" t="n"/>
      <c r="I16" s="26" t="n"/>
      <c r="J16" s="24" t="n"/>
    </row>
    <row r="17">
      <c r="A17" s="21" t="inlineStr">
        <is>
          <t>P02</t>
        </is>
      </c>
      <c r="B17" s="21" t="n">
        <v>5</v>
      </c>
      <c r="C17" s="25" t="inlineStr">
        <is>
          <t>Send a message in the trip chat</t>
        </is>
      </c>
      <c r="D17" s="21" t="inlineStr">
        <is>
          <t>Supplementary</t>
        </is>
      </c>
      <c r="E17" s="25" t="inlineStr">
        <is>
          <t>Operability</t>
        </is>
      </c>
      <c r="F17" s="22" t="n"/>
      <c r="G17" s="26" t="n"/>
      <c r="H17" s="26" t="n"/>
      <c r="I17" s="26" t="n"/>
      <c r="J17" s="24" t="n"/>
    </row>
    <row r="18">
      <c r="A18" s="21" t="inlineStr">
        <is>
          <t>P02</t>
        </is>
      </c>
      <c r="B18" s="21" t="n">
        <v>6</v>
      </c>
      <c r="C18" s="25" t="inlineStr">
        <is>
          <t>Rate the host after the trip is completed</t>
        </is>
      </c>
      <c r="D18" s="21" t="inlineStr">
        <is>
          <t>Core</t>
        </is>
      </c>
      <c r="E18" s="25" t="inlineStr">
        <is>
          <t>Learnability</t>
        </is>
      </c>
      <c r="F18" s="22" t="n"/>
      <c r="G18" s="26" t="n"/>
      <c r="H18" s="26" t="n"/>
      <c r="I18" s="26" t="n"/>
      <c r="J18" s="24" t="n"/>
    </row>
    <row r="19">
      <c r="A19" s="21" t="inlineStr">
        <is>
          <t>P02</t>
        </is>
      </c>
      <c r="B19" s="21" t="n">
        <v>7</v>
      </c>
      <c r="C19" s="25" t="inlineStr">
        <is>
          <t>Change ride preferences</t>
        </is>
      </c>
      <c r="D19" s="21" t="inlineStr">
        <is>
          <t>Supplementary</t>
        </is>
      </c>
      <c r="E19" s="25" t="inlineStr">
        <is>
          <t>Learnability</t>
        </is>
      </c>
      <c r="F19" s="22" t="n"/>
      <c r="G19" s="26" t="n"/>
      <c r="H19" s="26" t="n"/>
      <c r="I19" s="26" t="n"/>
      <c r="J19" s="24" t="n"/>
    </row>
    <row r="20">
      <c r="A20" s="21" t="inlineStr">
        <is>
          <t>P02</t>
        </is>
      </c>
      <c r="B20" s="21" t="n">
        <v>8</v>
      </c>
      <c r="C20" s="25" t="inlineStr">
        <is>
          <t>Report a user and view report history</t>
        </is>
      </c>
      <c r="D20" s="21" t="inlineStr">
        <is>
          <t>Supplementary</t>
        </is>
      </c>
      <c r="E20" s="25" t="inlineStr">
        <is>
          <t>User error protection</t>
        </is>
      </c>
      <c r="F20" s="22" t="n"/>
      <c r="G20" s="26" t="n"/>
      <c r="H20" s="26" t="n"/>
      <c r="I20" s="26" t="n"/>
      <c r="J20" s="24" t="n"/>
    </row>
    <row r="21">
      <c r="A21" s="21" t="inlineStr">
        <is>
          <t>P03</t>
        </is>
      </c>
      <c r="B21" s="21" t="n">
        <v>1</v>
      </c>
      <c r="C21" s="25" t="inlineStr">
        <is>
          <t>Register an account (email code, password, profile)</t>
        </is>
      </c>
      <c r="D21" s="21" t="inlineStr">
        <is>
          <t>Core</t>
        </is>
      </c>
      <c r="E21" s="25" t="inlineStr">
        <is>
          <t>User error protection</t>
        </is>
      </c>
      <c r="F21" s="22" t="n"/>
      <c r="G21" s="26" t="n"/>
      <c r="H21" s="26" t="n"/>
      <c r="I21" s="26" t="n"/>
      <c r="J21" s="24" t="n"/>
    </row>
    <row r="22">
      <c r="A22" s="21" t="inlineStr">
        <is>
          <t>P03</t>
        </is>
      </c>
      <c r="B22" s="21" t="n">
        <v>2</v>
      </c>
      <c r="C22" s="25" t="inlineStr">
        <is>
          <t>Post a trip (vehicle, route, schedule, seats, fuel price)</t>
        </is>
      </c>
      <c r="D22" s="21" t="inlineStr">
        <is>
          <t>Core</t>
        </is>
      </c>
      <c r="E22" s="25" t="inlineStr">
        <is>
          <t>Operability</t>
        </is>
      </c>
      <c r="F22" s="22" t="n"/>
      <c r="G22" s="26" t="n"/>
      <c r="H22" s="26" t="n"/>
      <c r="I22" s="26" t="n"/>
      <c r="J22" s="24" t="n"/>
    </row>
    <row r="23">
      <c r="A23" s="21" t="inlineStr">
        <is>
          <t>P03</t>
        </is>
      </c>
      <c r="B23" s="21" t="n">
        <v>3</v>
      </c>
      <c r="C23" s="25" t="inlineStr">
        <is>
          <t>Search for a ride and send a join request</t>
        </is>
      </c>
      <c r="D23" s="21" t="inlineStr">
        <is>
          <t>Core</t>
        </is>
      </c>
      <c r="E23" s="25" t="inlineStr">
        <is>
          <t>Appropriateness recognizability</t>
        </is>
      </c>
      <c r="F23" s="22" t="n"/>
      <c r="G23" s="26" t="n"/>
      <c r="H23" s="26" t="n"/>
      <c r="I23" s="26" t="n"/>
      <c r="J23" s="24" t="n"/>
    </row>
    <row r="24">
      <c r="A24" s="21" t="inlineStr">
        <is>
          <t>P03</t>
        </is>
      </c>
      <c r="B24" s="21" t="n">
        <v>4</v>
      </c>
      <c r="C24" s="25" t="inlineStr">
        <is>
          <t>Approve a join request on your trip</t>
        </is>
      </c>
      <c r="D24" s="21" t="inlineStr">
        <is>
          <t>Core</t>
        </is>
      </c>
      <c r="E24" s="25" t="inlineStr">
        <is>
          <t>Operability</t>
        </is>
      </c>
      <c r="F24" s="22" t="n"/>
      <c r="G24" s="26" t="n"/>
      <c r="H24" s="26" t="n"/>
      <c r="I24" s="26" t="n"/>
      <c r="J24" s="24" t="n"/>
    </row>
    <row r="25">
      <c r="A25" s="21" t="inlineStr">
        <is>
          <t>P03</t>
        </is>
      </c>
      <c r="B25" s="21" t="n">
        <v>5</v>
      </c>
      <c r="C25" s="25" t="inlineStr">
        <is>
          <t>Send a message in the trip chat</t>
        </is>
      </c>
      <c r="D25" s="21" t="inlineStr">
        <is>
          <t>Supplementary</t>
        </is>
      </c>
      <c r="E25" s="25" t="inlineStr">
        <is>
          <t>Operability</t>
        </is>
      </c>
      <c r="F25" s="22" t="n"/>
      <c r="G25" s="26" t="n"/>
      <c r="H25" s="26" t="n"/>
      <c r="I25" s="26" t="n"/>
      <c r="J25" s="24" t="n"/>
    </row>
    <row r="26">
      <c r="A26" s="21" t="inlineStr">
        <is>
          <t>P03</t>
        </is>
      </c>
      <c r="B26" s="21" t="n">
        <v>6</v>
      </c>
      <c r="C26" s="25" t="inlineStr">
        <is>
          <t>Rate the host after the trip is completed</t>
        </is>
      </c>
      <c r="D26" s="21" t="inlineStr">
        <is>
          <t>Core</t>
        </is>
      </c>
      <c r="E26" s="25" t="inlineStr">
        <is>
          <t>Learnability</t>
        </is>
      </c>
      <c r="F26" s="22" t="n"/>
      <c r="G26" s="26" t="n"/>
      <c r="H26" s="26" t="n"/>
      <c r="I26" s="26" t="n"/>
      <c r="J26" s="24" t="n"/>
    </row>
    <row r="27">
      <c r="A27" s="21" t="inlineStr">
        <is>
          <t>P03</t>
        </is>
      </c>
      <c r="B27" s="21" t="n">
        <v>7</v>
      </c>
      <c r="C27" s="25" t="inlineStr">
        <is>
          <t>Change ride preferences</t>
        </is>
      </c>
      <c r="D27" s="21" t="inlineStr">
        <is>
          <t>Supplementary</t>
        </is>
      </c>
      <c r="E27" s="25" t="inlineStr">
        <is>
          <t>Learnability</t>
        </is>
      </c>
      <c r="F27" s="22" t="n"/>
      <c r="G27" s="26" t="n"/>
      <c r="H27" s="26" t="n"/>
      <c r="I27" s="26" t="n"/>
      <c r="J27" s="24" t="n"/>
    </row>
    <row r="28">
      <c r="A28" s="21" t="inlineStr">
        <is>
          <t>P03</t>
        </is>
      </c>
      <c r="B28" s="21" t="n">
        <v>8</v>
      </c>
      <c r="C28" s="25" t="inlineStr">
        <is>
          <t>Report a user and view report history</t>
        </is>
      </c>
      <c r="D28" s="21" t="inlineStr">
        <is>
          <t>Supplementary</t>
        </is>
      </c>
      <c r="E28" s="25" t="inlineStr">
        <is>
          <t>User error protection</t>
        </is>
      </c>
      <c r="F28" s="22" t="n"/>
      <c r="G28" s="26" t="n"/>
      <c r="H28" s="26" t="n"/>
      <c r="I28" s="26" t="n"/>
      <c r="J28" s="24" t="n"/>
    </row>
    <row r="29">
      <c r="A29" s="21" t="inlineStr">
        <is>
          <t>P04</t>
        </is>
      </c>
      <c r="B29" s="21" t="n">
        <v>1</v>
      </c>
      <c r="C29" s="25" t="inlineStr">
        <is>
          <t>Register an account (email code, password, profile)</t>
        </is>
      </c>
      <c r="D29" s="21" t="inlineStr">
        <is>
          <t>Core</t>
        </is>
      </c>
      <c r="E29" s="25" t="inlineStr">
        <is>
          <t>User error protection</t>
        </is>
      </c>
      <c r="F29" s="22" t="n"/>
      <c r="G29" s="26" t="n"/>
      <c r="H29" s="26" t="n"/>
      <c r="I29" s="26" t="n"/>
      <c r="J29" s="24" t="n"/>
    </row>
    <row r="30">
      <c r="A30" s="21" t="inlineStr">
        <is>
          <t>P04</t>
        </is>
      </c>
      <c r="B30" s="21" t="n">
        <v>2</v>
      </c>
      <c r="C30" s="25" t="inlineStr">
        <is>
          <t>Post a trip (vehicle, route, schedule, seats, fuel price)</t>
        </is>
      </c>
      <c r="D30" s="21" t="inlineStr">
        <is>
          <t>Core</t>
        </is>
      </c>
      <c r="E30" s="25" t="inlineStr">
        <is>
          <t>Operability</t>
        </is>
      </c>
      <c r="F30" s="22" t="n"/>
      <c r="G30" s="26" t="n"/>
      <c r="H30" s="26" t="n"/>
      <c r="I30" s="26" t="n"/>
      <c r="J30" s="24" t="n"/>
    </row>
    <row r="31">
      <c r="A31" s="21" t="inlineStr">
        <is>
          <t>P04</t>
        </is>
      </c>
      <c r="B31" s="21" t="n">
        <v>3</v>
      </c>
      <c r="C31" s="25" t="inlineStr">
        <is>
          <t>Search for a ride and send a join request</t>
        </is>
      </c>
      <c r="D31" s="21" t="inlineStr">
        <is>
          <t>Core</t>
        </is>
      </c>
      <c r="E31" s="25" t="inlineStr">
        <is>
          <t>Appropriateness recognizability</t>
        </is>
      </c>
      <c r="F31" s="22" t="n"/>
      <c r="G31" s="26" t="n"/>
      <c r="H31" s="26" t="n"/>
      <c r="I31" s="26" t="n"/>
      <c r="J31" s="24" t="n"/>
    </row>
    <row r="32">
      <c r="A32" s="21" t="inlineStr">
        <is>
          <t>P04</t>
        </is>
      </c>
      <c r="B32" s="21" t="n">
        <v>4</v>
      </c>
      <c r="C32" s="25" t="inlineStr">
        <is>
          <t>Approve a join request on your trip</t>
        </is>
      </c>
      <c r="D32" s="21" t="inlineStr">
        <is>
          <t>Core</t>
        </is>
      </c>
      <c r="E32" s="25" t="inlineStr">
        <is>
          <t>Operability</t>
        </is>
      </c>
      <c r="F32" s="22" t="n"/>
      <c r="G32" s="26" t="n"/>
      <c r="H32" s="26" t="n"/>
      <c r="I32" s="26" t="n"/>
      <c r="J32" s="24" t="n"/>
    </row>
    <row r="33">
      <c r="A33" s="21" t="inlineStr">
        <is>
          <t>P04</t>
        </is>
      </c>
      <c r="B33" s="21" t="n">
        <v>5</v>
      </c>
      <c r="C33" s="25" t="inlineStr">
        <is>
          <t>Send a message in the trip chat</t>
        </is>
      </c>
      <c r="D33" s="21" t="inlineStr">
        <is>
          <t>Supplementary</t>
        </is>
      </c>
      <c r="E33" s="25" t="inlineStr">
        <is>
          <t>Operability</t>
        </is>
      </c>
      <c r="F33" s="22" t="n"/>
      <c r="G33" s="26" t="n"/>
      <c r="H33" s="26" t="n"/>
      <c r="I33" s="26" t="n"/>
      <c r="J33" s="24" t="n"/>
    </row>
    <row r="34">
      <c r="A34" s="21" t="inlineStr">
        <is>
          <t>P04</t>
        </is>
      </c>
      <c r="B34" s="21" t="n">
        <v>6</v>
      </c>
      <c r="C34" s="25" t="inlineStr">
        <is>
          <t>Rate the host after the trip is completed</t>
        </is>
      </c>
      <c r="D34" s="21" t="inlineStr">
        <is>
          <t>Core</t>
        </is>
      </c>
      <c r="E34" s="25" t="inlineStr">
        <is>
          <t>Learnability</t>
        </is>
      </c>
      <c r="F34" s="22" t="n"/>
      <c r="G34" s="26" t="n"/>
      <c r="H34" s="26" t="n"/>
      <c r="I34" s="26" t="n"/>
      <c r="J34" s="24" t="n"/>
    </row>
    <row r="35">
      <c r="A35" s="21" t="inlineStr">
        <is>
          <t>P04</t>
        </is>
      </c>
      <c r="B35" s="21" t="n">
        <v>7</v>
      </c>
      <c r="C35" s="25" t="inlineStr">
        <is>
          <t>Change ride preferences</t>
        </is>
      </c>
      <c r="D35" s="21" t="inlineStr">
        <is>
          <t>Supplementary</t>
        </is>
      </c>
      <c r="E35" s="25" t="inlineStr">
        <is>
          <t>Learnability</t>
        </is>
      </c>
      <c r="F35" s="22" t="n"/>
      <c r="G35" s="26" t="n"/>
      <c r="H35" s="26" t="n"/>
      <c r="I35" s="26" t="n"/>
      <c r="J35" s="24" t="n"/>
    </row>
    <row r="36">
      <c r="A36" s="21" t="inlineStr">
        <is>
          <t>P04</t>
        </is>
      </c>
      <c r="B36" s="21" t="n">
        <v>8</v>
      </c>
      <c r="C36" s="25" t="inlineStr">
        <is>
          <t>Report a user and view report history</t>
        </is>
      </c>
      <c r="D36" s="21" t="inlineStr">
        <is>
          <t>Supplementary</t>
        </is>
      </c>
      <c r="E36" s="25" t="inlineStr">
        <is>
          <t>User error protection</t>
        </is>
      </c>
      <c r="F36" s="22" t="n"/>
      <c r="G36" s="26" t="n"/>
      <c r="H36" s="26" t="n"/>
      <c r="I36" s="26" t="n"/>
      <c r="J36" s="24" t="n"/>
    </row>
    <row r="37">
      <c r="A37" s="21" t="inlineStr">
        <is>
          <t>P05</t>
        </is>
      </c>
      <c r="B37" s="21" t="n">
        <v>1</v>
      </c>
      <c r="C37" s="25" t="inlineStr">
        <is>
          <t>Register an account (email code, password, profile)</t>
        </is>
      </c>
      <c r="D37" s="21" t="inlineStr">
        <is>
          <t>Core</t>
        </is>
      </c>
      <c r="E37" s="25" t="inlineStr">
        <is>
          <t>User error protection</t>
        </is>
      </c>
      <c r="F37" s="22" t="n"/>
      <c r="G37" s="26" t="n"/>
      <c r="H37" s="26" t="n"/>
      <c r="I37" s="26" t="n"/>
      <c r="J37" s="24" t="n"/>
    </row>
    <row r="38">
      <c r="A38" s="21" t="inlineStr">
        <is>
          <t>P05</t>
        </is>
      </c>
      <c r="B38" s="21" t="n">
        <v>2</v>
      </c>
      <c r="C38" s="25" t="inlineStr">
        <is>
          <t>Post a trip (vehicle, route, schedule, seats, fuel price)</t>
        </is>
      </c>
      <c r="D38" s="21" t="inlineStr">
        <is>
          <t>Core</t>
        </is>
      </c>
      <c r="E38" s="25" t="inlineStr">
        <is>
          <t>Operability</t>
        </is>
      </c>
      <c r="F38" s="22" t="n"/>
      <c r="G38" s="26" t="n"/>
      <c r="H38" s="26" t="n"/>
      <c r="I38" s="26" t="n"/>
      <c r="J38" s="24" t="n"/>
    </row>
    <row r="39">
      <c r="A39" s="21" t="inlineStr">
        <is>
          <t>P05</t>
        </is>
      </c>
      <c r="B39" s="21" t="n">
        <v>3</v>
      </c>
      <c r="C39" s="25" t="inlineStr">
        <is>
          <t>Search for a ride and send a join request</t>
        </is>
      </c>
      <c r="D39" s="21" t="inlineStr">
        <is>
          <t>Core</t>
        </is>
      </c>
      <c r="E39" s="25" t="inlineStr">
        <is>
          <t>Appropriateness recognizability</t>
        </is>
      </c>
      <c r="F39" s="22" t="n"/>
      <c r="G39" s="26" t="n"/>
      <c r="H39" s="26" t="n"/>
      <c r="I39" s="26" t="n"/>
      <c r="J39" s="24" t="n"/>
    </row>
    <row r="40">
      <c r="A40" s="21" t="inlineStr">
        <is>
          <t>P05</t>
        </is>
      </c>
      <c r="B40" s="21" t="n">
        <v>4</v>
      </c>
      <c r="C40" s="25" t="inlineStr">
        <is>
          <t>Approve a join request on your trip</t>
        </is>
      </c>
      <c r="D40" s="21" t="inlineStr">
        <is>
          <t>Core</t>
        </is>
      </c>
      <c r="E40" s="25" t="inlineStr">
        <is>
          <t>Operability</t>
        </is>
      </c>
      <c r="F40" s="22" t="n"/>
      <c r="G40" s="26" t="n"/>
      <c r="H40" s="26" t="n"/>
      <c r="I40" s="26" t="n"/>
      <c r="J40" s="24" t="n"/>
    </row>
    <row r="41">
      <c r="A41" s="21" t="inlineStr">
        <is>
          <t>P05</t>
        </is>
      </c>
      <c r="B41" s="21" t="n">
        <v>5</v>
      </c>
      <c r="C41" s="25" t="inlineStr">
        <is>
          <t>Send a message in the trip chat</t>
        </is>
      </c>
      <c r="D41" s="21" t="inlineStr">
        <is>
          <t>Supplementary</t>
        </is>
      </c>
      <c r="E41" s="25" t="inlineStr">
        <is>
          <t>Operability</t>
        </is>
      </c>
      <c r="F41" s="22" t="n"/>
      <c r="G41" s="26" t="n"/>
      <c r="H41" s="26" t="n"/>
      <c r="I41" s="26" t="n"/>
      <c r="J41" s="24" t="n"/>
    </row>
    <row r="42">
      <c r="A42" s="21" t="inlineStr">
        <is>
          <t>P05</t>
        </is>
      </c>
      <c r="B42" s="21" t="n">
        <v>6</v>
      </c>
      <c r="C42" s="25" t="inlineStr">
        <is>
          <t>Rate the host after the trip is completed</t>
        </is>
      </c>
      <c r="D42" s="21" t="inlineStr">
        <is>
          <t>Core</t>
        </is>
      </c>
      <c r="E42" s="25" t="inlineStr">
        <is>
          <t>Learnability</t>
        </is>
      </c>
      <c r="F42" s="22" t="n"/>
      <c r="G42" s="26" t="n"/>
      <c r="H42" s="26" t="n"/>
      <c r="I42" s="26" t="n"/>
      <c r="J42" s="24" t="n"/>
    </row>
    <row r="43">
      <c r="A43" s="21" t="inlineStr">
        <is>
          <t>P05</t>
        </is>
      </c>
      <c r="B43" s="21" t="n">
        <v>7</v>
      </c>
      <c r="C43" s="25" t="inlineStr">
        <is>
          <t>Change ride preferences</t>
        </is>
      </c>
      <c r="D43" s="21" t="inlineStr">
        <is>
          <t>Supplementary</t>
        </is>
      </c>
      <c r="E43" s="25" t="inlineStr">
        <is>
          <t>Learnability</t>
        </is>
      </c>
      <c r="F43" s="22" t="n"/>
      <c r="G43" s="26" t="n"/>
      <c r="H43" s="26" t="n"/>
      <c r="I43" s="26" t="n"/>
      <c r="J43" s="24" t="n"/>
    </row>
    <row r="44">
      <c r="A44" s="21" t="inlineStr">
        <is>
          <t>P05</t>
        </is>
      </c>
      <c r="B44" s="21" t="n">
        <v>8</v>
      </c>
      <c r="C44" s="25" t="inlineStr">
        <is>
          <t>Report a user and view report history</t>
        </is>
      </c>
      <c r="D44" s="21" t="inlineStr">
        <is>
          <t>Supplementary</t>
        </is>
      </c>
      <c r="E44" s="25" t="inlineStr">
        <is>
          <t>User error protection</t>
        </is>
      </c>
      <c r="F44" s="22" t="n"/>
      <c r="G44" s="26" t="n"/>
      <c r="H44" s="26" t="n"/>
      <c r="I44" s="26" t="n"/>
      <c r="J44" s="24" t="n"/>
    </row>
    <row r="45">
      <c r="A45" s="21" t="inlineStr">
        <is>
          <t>P06</t>
        </is>
      </c>
      <c r="B45" s="21" t="n">
        <v>1</v>
      </c>
      <c r="C45" s="25" t="inlineStr">
        <is>
          <t>Register an account (email code, password, profile)</t>
        </is>
      </c>
      <c r="D45" s="21" t="inlineStr">
        <is>
          <t>Core</t>
        </is>
      </c>
      <c r="E45" s="25" t="inlineStr">
        <is>
          <t>User error protection</t>
        </is>
      </c>
      <c r="F45" s="22" t="n"/>
      <c r="G45" s="26" t="n"/>
      <c r="H45" s="26" t="n"/>
      <c r="I45" s="26" t="n"/>
      <c r="J45" s="24" t="n"/>
    </row>
    <row r="46">
      <c r="A46" s="21" t="inlineStr">
        <is>
          <t>P06</t>
        </is>
      </c>
      <c r="B46" s="21" t="n">
        <v>2</v>
      </c>
      <c r="C46" s="25" t="inlineStr">
        <is>
          <t>Post a trip (vehicle, route, schedule, seats, fuel price)</t>
        </is>
      </c>
      <c r="D46" s="21" t="inlineStr">
        <is>
          <t>Core</t>
        </is>
      </c>
      <c r="E46" s="25" t="inlineStr">
        <is>
          <t>Operability</t>
        </is>
      </c>
      <c r="F46" s="22" t="n"/>
      <c r="G46" s="26" t="n"/>
      <c r="H46" s="26" t="n"/>
      <c r="I46" s="26" t="n"/>
      <c r="J46" s="24" t="n"/>
    </row>
    <row r="47">
      <c r="A47" s="21" t="inlineStr">
        <is>
          <t>P06</t>
        </is>
      </c>
      <c r="B47" s="21" t="n">
        <v>3</v>
      </c>
      <c r="C47" s="25" t="inlineStr">
        <is>
          <t>Search for a ride and send a join request</t>
        </is>
      </c>
      <c r="D47" s="21" t="inlineStr">
        <is>
          <t>Core</t>
        </is>
      </c>
      <c r="E47" s="25" t="inlineStr">
        <is>
          <t>Appropriateness recognizability</t>
        </is>
      </c>
      <c r="F47" s="22" t="n"/>
      <c r="G47" s="26" t="n"/>
      <c r="H47" s="26" t="n"/>
      <c r="I47" s="26" t="n"/>
      <c r="J47" s="24" t="n"/>
    </row>
    <row r="48">
      <c r="A48" s="21" t="inlineStr">
        <is>
          <t>P06</t>
        </is>
      </c>
      <c r="B48" s="21" t="n">
        <v>4</v>
      </c>
      <c r="C48" s="25" t="inlineStr">
        <is>
          <t>Approve a join request on your trip</t>
        </is>
      </c>
      <c r="D48" s="21" t="inlineStr">
        <is>
          <t>Core</t>
        </is>
      </c>
      <c r="E48" s="25" t="inlineStr">
        <is>
          <t>Operability</t>
        </is>
      </c>
      <c r="F48" s="22" t="n"/>
      <c r="G48" s="26" t="n"/>
      <c r="H48" s="26" t="n"/>
      <c r="I48" s="26" t="n"/>
      <c r="J48" s="24" t="n"/>
    </row>
    <row r="49">
      <c r="A49" s="21" t="inlineStr">
        <is>
          <t>P06</t>
        </is>
      </c>
      <c r="B49" s="21" t="n">
        <v>5</v>
      </c>
      <c r="C49" s="25" t="inlineStr">
        <is>
          <t>Send a message in the trip chat</t>
        </is>
      </c>
      <c r="D49" s="21" t="inlineStr">
        <is>
          <t>Supplementary</t>
        </is>
      </c>
      <c r="E49" s="25" t="inlineStr">
        <is>
          <t>Operability</t>
        </is>
      </c>
      <c r="F49" s="22" t="n"/>
      <c r="G49" s="26" t="n"/>
      <c r="H49" s="26" t="n"/>
      <c r="I49" s="26" t="n"/>
      <c r="J49" s="24" t="n"/>
    </row>
    <row r="50">
      <c r="A50" s="21" t="inlineStr">
        <is>
          <t>P06</t>
        </is>
      </c>
      <c r="B50" s="21" t="n">
        <v>6</v>
      </c>
      <c r="C50" s="25" t="inlineStr">
        <is>
          <t>Rate the host after the trip is completed</t>
        </is>
      </c>
      <c r="D50" s="21" t="inlineStr">
        <is>
          <t>Core</t>
        </is>
      </c>
      <c r="E50" s="25" t="inlineStr">
        <is>
          <t>Learnability</t>
        </is>
      </c>
      <c r="F50" s="22" t="n"/>
      <c r="G50" s="26" t="n"/>
      <c r="H50" s="26" t="n"/>
      <c r="I50" s="26" t="n"/>
      <c r="J50" s="24" t="n"/>
    </row>
    <row r="51">
      <c r="A51" s="21" t="inlineStr">
        <is>
          <t>P06</t>
        </is>
      </c>
      <c r="B51" s="21" t="n">
        <v>7</v>
      </c>
      <c r="C51" s="25" t="inlineStr">
        <is>
          <t>Change ride preferences</t>
        </is>
      </c>
      <c r="D51" s="21" t="inlineStr">
        <is>
          <t>Supplementary</t>
        </is>
      </c>
      <c r="E51" s="25" t="inlineStr">
        <is>
          <t>Learnability</t>
        </is>
      </c>
      <c r="F51" s="22" t="n"/>
      <c r="G51" s="26" t="n"/>
      <c r="H51" s="26" t="n"/>
      <c r="I51" s="26" t="n"/>
      <c r="J51" s="24" t="n"/>
    </row>
    <row r="52">
      <c r="A52" s="21" t="inlineStr">
        <is>
          <t>P06</t>
        </is>
      </c>
      <c r="B52" s="21" t="n">
        <v>8</v>
      </c>
      <c r="C52" s="25" t="inlineStr">
        <is>
          <t>Report a user and view report history</t>
        </is>
      </c>
      <c r="D52" s="21" t="inlineStr">
        <is>
          <t>Supplementary</t>
        </is>
      </c>
      <c r="E52" s="25" t="inlineStr">
        <is>
          <t>User error protection</t>
        </is>
      </c>
      <c r="F52" s="22" t="n"/>
      <c r="G52" s="26" t="n"/>
      <c r="H52" s="26" t="n"/>
      <c r="I52" s="26" t="n"/>
      <c r="J52" s="24" t="n"/>
    </row>
    <row r="53">
      <c r="A53" s="21" t="inlineStr">
        <is>
          <t>P07</t>
        </is>
      </c>
      <c r="B53" s="21" t="n">
        <v>1</v>
      </c>
      <c r="C53" s="25" t="inlineStr">
        <is>
          <t>Register an account (email code, password, profile)</t>
        </is>
      </c>
      <c r="D53" s="21" t="inlineStr">
        <is>
          <t>Core</t>
        </is>
      </c>
      <c r="E53" s="25" t="inlineStr">
        <is>
          <t>User error protection</t>
        </is>
      </c>
      <c r="F53" s="22" t="n"/>
      <c r="G53" s="26" t="n"/>
      <c r="H53" s="26" t="n"/>
      <c r="I53" s="26" t="n"/>
      <c r="J53" s="24" t="n"/>
    </row>
    <row r="54">
      <c r="A54" s="21" t="inlineStr">
        <is>
          <t>P07</t>
        </is>
      </c>
      <c r="B54" s="21" t="n">
        <v>2</v>
      </c>
      <c r="C54" s="25" t="inlineStr">
        <is>
          <t>Post a trip (vehicle, route, schedule, seats, fuel price)</t>
        </is>
      </c>
      <c r="D54" s="21" t="inlineStr">
        <is>
          <t>Core</t>
        </is>
      </c>
      <c r="E54" s="25" t="inlineStr">
        <is>
          <t>Operability</t>
        </is>
      </c>
      <c r="F54" s="22" t="n"/>
      <c r="G54" s="26" t="n"/>
      <c r="H54" s="26" t="n"/>
      <c r="I54" s="26" t="n"/>
      <c r="J54" s="24" t="n"/>
    </row>
    <row r="55">
      <c r="A55" s="21" t="inlineStr">
        <is>
          <t>P07</t>
        </is>
      </c>
      <c r="B55" s="21" t="n">
        <v>3</v>
      </c>
      <c r="C55" s="25" t="inlineStr">
        <is>
          <t>Search for a ride and send a join request</t>
        </is>
      </c>
      <c r="D55" s="21" t="inlineStr">
        <is>
          <t>Core</t>
        </is>
      </c>
      <c r="E55" s="25" t="inlineStr">
        <is>
          <t>Appropriateness recognizability</t>
        </is>
      </c>
      <c r="F55" s="22" t="n"/>
      <c r="G55" s="26" t="n"/>
      <c r="H55" s="26" t="n"/>
      <c r="I55" s="26" t="n"/>
      <c r="J55" s="24" t="n"/>
    </row>
    <row r="56">
      <c r="A56" s="21" t="inlineStr">
        <is>
          <t>P07</t>
        </is>
      </c>
      <c r="B56" s="21" t="n">
        <v>4</v>
      </c>
      <c r="C56" s="25" t="inlineStr">
        <is>
          <t>Approve a join request on your trip</t>
        </is>
      </c>
      <c r="D56" s="21" t="inlineStr">
        <is>
          <t>Core</t>
        </is>
      </c>
      <c r="E56" s="25" t="inlineStr">
        <is>
          <t>Operability</t>
        </is>
      </c>
      <c r="F56" s="22" t="n"/>
      <c r="G56" s="26" t="n"/>
      <c r="H56" s="26" t="n"/>
      <c r="I56" s="26" t="n"/>
      <c r="J56" s="24" t="n"/>
    </row>
    <row r="57">
      <c r="A57" s="21" t="inlineStr">
        <is>
          <t>P07</t>
        </is>
      </c>
      <c r="B57" s="21" t="n">
        <v>5</v>
      </c>
      <c r="C57" s="25" t="inlineStr">
        <is>
          <t>Send a message in the trip chat</t>
        </is>
      </c>
      <c r="D57" s="21" t="inlineStr">
        <is>
          <t>Supplementary</t>
        </is>
      </c>
      <c r="E57" s="25" t="inlineStr">
        <is>
          <t>Operability</t>
        </is>
      </c>
      <c r="F57" s="22" t="n"/>
      <c r="G57" s="26" t="n"/>
      <c r="H57" s="26" t="n"/>
      <c r="I57" s="26" t="n"/>
      <c r="J57" s="24" t="n"/>
    </row>
    <row r="58">
      <c r="A58" s="21" t="inlineStr">
        <is>
          <t>P07</t>
        </is>
      </c>
      <c r="B58" s="21" t="n">
        <v>6</v>
      </c>
      <c r="C58" s="25" t="inlineStr">
        <is>
          <t>Rate the host after the trip is completed</t>
        </is>
      </c>
      <c r="D58" s="21" t="inlineStr">
        <is>
          <t>Core</t>
        </is>
      </c>
      <c r="E58" s="25" t="inlineStr">
        <is>
          <t>Learnability</t>
        </is>
      </c>
      <c r="F58" s="22" t="n"/>
      <c r="G58" s="26" t="n"/>
      <c r="H58" s="26" t="n"/>
      <c r="I58" s="26" t="n"/>
      <c r="J58" s="24" t="n"/>
    </row>
    <row r="59">
      <c r="A59" s="21" t="inlineStr">
        <is>
          <t>P07</t>
        </is>
      </c>
      <c r="B59" s="21" t="n">
        <v>7</v>
      </c>
      <c r="C59" s="25" t="inlineStr">
        <is>
          <t>Change ride preferences</t>
        </is>
      </c>
      <c r="D59" s="21" t="inlineStr">
        <is>
          <t>Supplementary</t>
        </is>
      </c>
      <c r="E59" s="25" t="inlineStr">
        <is>
          <t>Learnability</t>
        </is>
      </c>
      <c r="F59" s="22" t="n"/>
      <c r="G59" s="26" t="n"/>
      <c r="H59" s="26" t="n"/>
      <c r="I59" s="26" t="n"/>
      <c r="J59" s="24" t="n"/>
    </row>
    <row r="60">
      <c r="A60" s="21" t="inlineStr">
        <is>
          <t>P07</t>
        </is>
      </c>
      <c r="B60" s="21" t="n">
        <v>8</v>
      </c>
      <c r="C60" s="25" t="inlineStr">
        <is>
          <t>Report a user and view report history</t>
        </is>
      </c>
      <c r="D60" s="21" t="inlineStr">
        <is>
          <t>Supplementary</t>
        </is>
      </c>
      <c r="E60" s="25" t="inlineStr">
        <is>
          <t>User error protection</t>
        </is>
      </c>
      <c r="F60" s="22" t="n"/>
      <c r="G60" s="26" t="n"/>
      <c r="H60" s="26" t="n"/>
      <c r="I60" s="26" t="n"/>
      <c r="J60" s="24" t="n"/>
    </row>
    <row r="61">
      <c r="A61" s="21" t="inlineStr">
        <is>
          <t>P08</t>
        </is>
      </c>
      <c r="B61" s="21" t="n">
        <v>1</v>
      </c>
      <c r="C61" s="25" t="inlineStr">
        <is>
          <t>Register an account (email code, password, profile)</t>
        </is>
      </c>
      <c r="D61" s="21" t="inlineStr">
        <is>
          <t>Core</t>
        </is>
      </c>
      <c r="E61" s="25" t="inlineStr">
        <is>
          <t>User error protection</t>
        </is>
      </c>
      <c r="F61" s="22" t="n"/>
      <c r="G61" s="26" t="n"/>
      <c r="H61" s="26" t="n"/>
      <c r="I61" s="26" t="n"/>
      <c r="J61" s="24" t="n"/>
    </row>
    <row r="62">
      <c r="A62" s="21" t="inlineStr">
        <is>
          <t>P08</t>
        </is>
      </c>
      <c r="B62" s="21" t="n">
        <v>2</v>
      </c>
      <c r="C62" s="25" t="inlineStr">
        <is>
          <t>Post a trip (vehicle, route, schedule, seats, fuel price)</t>
        </is>
      </c>
      <c r="D62" s="21" t="inlineStr">
        <is>
          <t>Core</t>
        </is>
      </c>
      <c r="E62" s="25" t="inlineStr">
        <is>
          <t>Operability</t>
        </is>
      </c>
      <c r="F62" s="22" t="n"/>
      <c r="G62" s="26" t="n"/>
      <c r="H62" s="26" t="n"/>
      <c r="I62" s="26" t="n"/>
      <c r="J62" s="24" t="n"/>
    </row>
    <row r="63">
      <c r="A63" s="21" t="inlineStr">
        <is>
          <t>P08</t>
        </is>
      </c>
      <c r="B63" s="21" t="n">
        <v>3</v>
      </c>
      <c r="C63" s="25" t="inlineStr">
        <is>
          <t>Search for a ride and send a join request</t>
        </is>
      </c>
      <c r="D63" s="21" t="inlineStr">
        <is>
          <t>Core</t>
        </is>
      </c>
      <c r="E63" s="25" t="inlineStr">
        <is>
          <t>Appropriateness recognizability</t>
        </is>
      </c>
      <c r="F63" s="22" t="n"/>
      <c r="G63" s="26" t="n"/>
      <c r="H63" s="26" t="n"/>
      <c r="I63" s="26" t="n"/>
      <c r="J63" s="24" t="n"/>
    </row>
    <row r="64">
      <c r="A64" s="21" t="inlineStr">
        <is>
          <t>P08</t>
        </is>
      </c>
      <c r="B64" s="21" t="n">
        <v>4</v>
      </c>
      <c r="C64" s="25" t="inlineStr">
        <is>
          <t>Approve a join request on your trip</t>
        </is>
      </c>
      <c r="D64" s="21" t="inlineStr">
        <is>
          <t>Core</t>
        </is>
      </c>
      <c r="E64" s="25" t="inlineStr">
        <is>
          <t>Operability</t>
        </is>
      </c>
      <c r="F64" s="22" t="n"/>
      <c r="G64" s="26" t="n"/>
      <c r="H64" s="26" t="n"/>
      <c r="I64" s="26" t="n"/>
      <c r="J64" s="24" t="n"/>
    </row>
    <row r="65">
      <c r="A65" s="21" t="inlineStr">
        <is>
          <t>P08</t>
        </is>
      </c>
      <c r="B65" s="21" t="n">
        <v>5</v>
      </c>
      <c r="C65" s="25" t="inlineStr">
        <is>
          <t>Send a message in the trip chat</t>
        </is>
      </c>
      <c r="D65" s="21" t="inlineStr">
        <is>
          <t>Supplementary</t>
        </is>
      </c>
      <c r="E65" s="25" t="inlineStr">
        <is>
          <t>Operability</t>
        </is>
      </c>
      <c r="F65" s="22" t="n"/>
      <c r="G65" s="26" t="n"/>
      <c r="H65" s="26" t="n"/>
      <c r="I65" s="26" t="n"/>
      <c r="J65" s="24" t="n"/>
    </row>
    <row r="66">
      <c r="A66" s="21" t="inlineStr">
        <is>
          <t>P08</t>
        </is>
      </c>
      <c r="B66" s="21" t="n">
        <v>6</v>
      </c>
      <c r="C66" s="25" t="inlineStr">
        <is>
          <t>Rate the host after the trip is completed</t>
        </is>
      </c>
      <c r="D66" s="21" t="inlineStr">
        <is>
          <t>Core</t>
        </is>
      </c>
      <c r="E66" s="25" t="inlineStr">
        <is>
          <t>Learnability</t>
        </is>
      </c>
      <c r="F66" s="22" t="n"/>
      <c r="G66" s="26" t="n"/>
      <c r="H66" s="26" t="n"/>
      <c r="I66" s="26" t="n"/>
      <c r="J66" s="24" t="n"/>
    </row>
    <row r="67">
      <c r="A67" s="21" t="inlineStr">
        <is>
          <t>P08</t>
        </is>
      </c>
      <c r="B67" s="21" t="n">
        <v>7</v>
      </c>
      <c r="C67" s="25" t="inlineStr">
        <is>
          <t>Change ride preferences</t>
        </is>
      </c>
      <c r="D67" s="21" t="inlineStr">
        <is>
          <t>Supplementary</t>
        </is>
      </c>
      <c r="E67" s="25" t="inlineStr">
        <is>
          <t>Learnability</t>
        </is>
      </c>
      <c r="F67" s="22" t="n"/>
      <c r="G67" s="26" t="n"/>
      <c r="H67" s="26" t="n"/>
      <c r="I67" s="26" t="n"/>
      <c r="J67" s="24" t="n"/>
    </row>
    <row r="68">
      <c r="A68" s="21" t="inlineStr">
        <is>
          <t>P08</t>
        </is>
      </c>
      <c r="B68" s="21" t="n">
        <v>8</v>
      </c>
      <c r="C68" s="25" t="inlineStr">
        <is>
          <t>Report a user and view report history</t>
        </is>
      </c>
      <c r="D68" s="21" t="inlineStr">
        <is>
          <t>Supplementary</t>
        </is>
      </c>
      <c r="E68" s="25" t="inlineStr">
        <is>
          <t>User error protection</t>
        </is>
      </c>
      <c r="F68" s="22" t="n"/>
      <c r="G68" s="26" t="n"/>
      <c r="H68" s="26" t="n"/>
      <c r="I68" s="26" t="n"/>
      <c r="J68" s="24" t="n"/>
    </row>
    <row r="69">
      <c r="A69" s="21" t="inlineStr">
        <is>
          <t>P09</t>
        </is>
      </c>
      <c r="B69" s="21" t="n">
        <v>1</v>
      </c>
      <c r="C69" s="25" t="inlineStr">
        <is>
          <t>Register an account (email code, password, profile)</t>
        </is>
      </c>
      <c r="D69" s="21" t="inlineStr">
        <is>
          <t>Core</t>
        </is>
      </c>
      <c r="E69" s="25" t="inlineStr">
        <is>
          <t>User error protection</t>
        </is>
      </c>
      <c r="F69" s="22" t="n"/>
      <c r="G69" s="26" t="n"/>
      <c r="H69" s="26" t="n"/>
      <c r="I69" s="26" t="n"/>
      <c r="J69" s="24" t="n"/>
    </row>
    <row r="70">
      <c r="A70" s="21" t="inlineStr">
        <is>
          <t>P09</t>
        </is>
      </c>
      <c r="B70" s="21" t="n">
        <v>2</v>
      </c>
      <c r="C70" s="25" t="inlineStr">
        <is>
          <t>Post a trip (vehicle, route, schedule, seats, fuel price)</t>
        </is>
      </c>
      <c r="D70" s="21" t="inlineStr">
        <is>
          <t>Core</t>
        </is>
      </c>
      <c r="E70" s="25" t="inlineStr">
        <is>
          <t>Operability</t>
        </is>
      </c>
      <c r="F70" s="22" t="n"/>
      <c r="G70" s="26" t="n"/>
      <c r="H70" s="26" t="n"/>
      <c r="I70" s="26" t="n"/>
      <c r="J70" s="24" t="n"/>
    </row>
    <row r="71">
      <c r="A71" s="21" t="inlineStr">
        <is>
          <t>P09</t>
        </is>
      </c>
      <c r="B71" s="21" t="n">
        <v>3</v>
      </c>
      <c r="C71" s="25" t="inlineStr">
        <is>
          <t>Search for a ride and send a join request</t>
        </is>
      </c>
      <c r="D71" s="21" t="inlineStr">
        <is>
          <t>Core</t>
        </is>
      </c>
      <c r="E71" s="25" t="inlineStr">
        <is>
          <t>Appropriateness recognizability</t>
        </is>
      </c>
      <c r="F71" s="22" t="n"/>
      <c r="G71" s="26" t="n"/>
      <c r="H71" s="26" t="n"/>
      <c r="I71" s="26" t="n"/>
      <c r="J71" s="24" t="n"/>
    </row>
    <row r="72">
      <c r="A72" s="21" t="inlineStr">
        <is>
          <t>P09</t>
        </is>
      </c>
      <c r="B72" s="21" t="n">
        <v>4</v>
      </c>
      <c r="C72" s="25" t="inlineStr">
        <is>
          <t>Approve a join request on your trip</t>
        </is>
      </c>
      <c r="D72" s="21" t="inlineStr">
        <is>
          <t>Core</t>
        </is>
      </c>
      <c r="E72" s="25" t="inlineStr">
        <is>
          <t>Operability</t>
        </is>
      </c>
      <c r="F72" s="22" t="n"/>
      <c r="G72" s="26" t="n"/>
      <c r="H72" s="26" t="n"/>
      <c r="I72" s="26" t="n"/>
      <c r="J72" s="24" t="n"/>
    </row>
    <row r="73">
      <c r="A73" s="21" t="inlineStr">
        <is>
          <t>P09</t>
        </is>
      </c>
      <c r="B73" s="21" t="n">
        <v>5</v>
      </c>
      <c r="C73" s="25" t="inlineStr">
        <is>
          <t>Send a message in the trip chat</t>
        </is>
      </c>
      <c r="D73" s="21" t="inlineStr">
        <is>
          <t>Supplementary</t>
        </is>
      </c>
      <c r="E73" s="25" t="inlineStr">
        <is>
          <t>Operability</t>
        </is>
      </c>
      <c r="F73" s="22" t="n"/>
      <c r="G73" s="26" t="n"/>
      <c r="H73" s="26" t="n"/>
      <c r="I73" s="26" t="n"/>
      <c r="J73" s="24" t="n"/>
    </row>
    <row r="74">
      <c r="A74" s="21" t="inlineStr">
        <is>
          <t>P09</t>
        </is>
      </c>
      <c r="B74" s="21" t="n">
        <v>6</v>
      </c>
      <c r="C74" s="25" t="inlineStr">
        <is>
          <t>Rate the host after the trip is completed</t>
        </is>
      </c>
      <c r="D74" s="21" t="inlineStr">
        <is>
          <t>Core</t>
        </is>
      </c>
      <c r="E74" s="25" t="inlineStr">
        <is>
          <t>Learnability</t>
        </is>
      </c>
      <c r="F74" s="22" t="n"/>
      <c r="G74" s="26" t="n"/>
      <c r="H74" s="26" t="n"/>
      <c r="I74" s="26" t="n"/>
      <c r="J74" s="24" t="n"/>
    </row>
    <row r="75">
      <c r="A75" s="21" t="inlineStr">
        <is>
          <t>P09</t>
        </is>
      </c>
      <c r="B75" s="21" t="n">
        <v>7</v>
      </c>
      <c r="C75" s="25" t="inlineStr">
        <is>
          <t>Change ride preferences</t>
        </is>
      </c>
      <c r="D75" s="21" t="inlineStr">
        <is>
          <t>Supplementary</t>
        </is>
      </c>
      <c r="E75" s="25" t="inlineStr">
        <is>
          <t>Learnability</t>
        </is>
      </c>
      <c r="F75" s="22" t="n"/>
      <c r="G75" s="26" t="n"/>
      <c r="H75" s="26" t="n"/>
      <c r="I75" s="26" t="n"/>
      <c r="J75" s="24" t="n"/>
    </row>
    <row r="76">
      <c r="A76" s="21" t="inlineStr">
        <is>
          <t>P09</t>
        </is>
      </c>
      <c r="B76" s="21" t="n">
        <v>8</v>
      </c>
      <c r="C76" s="25" t="inlineStr">
        <is>
          <t>Report a user and view report history</t>
        </is>
      </c>
      <c r="D76" s="21" t="inlineStr">
        <is>
          <t>Supplementary</t>
        </is>
      </c>
      <c r="E76" s="25" t="inlineStr">
        <is>
          <t>User error protection</t>
        </is>
      </c>
      <c r="F76" s="22" t="n"/>
      <c r="G76" s="26" t="n"/>
      <c r="H76" s="26" t="n"/>
      <c r="I76" s="26" t="n"/>
      <c r="J76" s="24" t="n"/>
    </row>
    <row r="77">
      <c r="A77" s="21" t="inlineStr">
        <is>
          <t>P10</t>
        </is>
      </c>
      <c r="B77" s="21" t="n">
        <v>1</v>
      </c>
      <c r="C77" s="25" t="inlineStr">
        <is>
          <t>Register an account (email code, password, profile)</t>
        </is>
      </c>
      <c r="D77" s="21" t="inlineStr">
        <is>
          <t>Core</t>
        </is>
      </c>
      <c r="E77" s="25" t="inlineStr">
        <is>
          <t>User error protection</t>
        </is>
      </c>
      <c r="F77" s="22" t="n"/>
      <c r="G77" s="26" t="n"/>
      <c r="H77" s="26" t="n"/>
      <c r="I77" s="26" t="n"/>
      <c r="J77" s="24" t="n"/>
    </row>
    <row r="78">
      <c r="A78" s="21" t="inlineStr">
        <is>
          <t>P10</t>
        </is>
      </c>
      <c r="B78" s="21" t="n">
        <v>2</v>
      </c>
      <c r="C78" s="25" t="inlineStr">
        <is>
          <t>Post a trip (vehicle, route, schedule, seats, fuel price)</t>
        </is>
      </c>
      <c r="D78" s="21" t="inlineStr">
        <is>
          <t>Core</t>
        </is>
      </c>
      <c r="E78" s="25" t="inlineStr">
        <is>
          <t>Operability</t>
        </is>
      </c>
      <c r="F78" s="22" t="n"/>
      <c r="G78" s="26" t="n"/>
      <c r="H78" s="26" t="n"/>
      <c r="I78" s="26" t="n"/>
      <c r="J78" s="24" t="n"/>
    </row>
    <row r="79">
      <c r="A79" s="21" t="inlineStr">
        <is>
          <t>P10</t>
        </is>
      </c>
      <c r="B79" s="21" t="n">
        <v>3</v>
      </c>
      <c r="C79" s="25" t="inlineStr">
        <is>
          <t>Search for a ride and send a join request</t>
        </is>
      </c>
      <c r="D79" s="21" t="inlineStr">
        <is>
          <t>Core</t>
        </is>
      </c>
      <c r="E79" s="25" t="inlineStr">
        <is>
          <t>Appropriateness recognizability</t>
        </is>
      </c>
      <c r="F79" s="22" t="n"/>
      <c r="G79" s="26" t="n"/>
      <c r="H79" s="26" t="n"/>
      <c r="I79" s="26" t="n"/>
      <c r="J79" s="24" t="n"/>
    </row>
    <row r="80">
      <c r="A80" s="21" t="inlineStr">
        <is>
          <t>P10</t>
        </is>
      </c>
      <c r="B80" s="21" t="n">
        <v>4</v>
      </c>
      <c r="C80" s="25" t="inlineStr">
        <is>
          <t>Approve a join request on your trip</t>
        </is>
      </c>
      <c r="D80" s="21" t="inlineStr">
        <is>
          <t>Core</t>
        </is>
      </c>
      <c r="E80" s="25" t="inlineStr">
        <is>
          <t>Operability</t>
        </is>
      </c>
      <c r="F80" s="22" t="n"/>
      <c r="G80" s="26" t="n"/>
      <c r="H80" s="26" t="n"/>
      <c r="I80" s="26" t="n"/>
      <c r="J80" s="24" t="n"/>
    </row>
    <row r="81">
      <c r="A81" s="21" t="inlineStr">
        <is>
          <t>P10</t>
        </is>
      </c>
      <c r="B81" s="21" t="n">
        <v>5</v>
      </c>
      <c r="C81" s="25" t="inlineStr">
        <is>
          <t>Send a message in the trip chat</t>
        </is>
      </c>
      <c r="D81" s="21" t="inlineStr">
        <is>
          <t>Supplementary</t>
        </is>
      </c>
      <c r="E81" s="25" t="inlineStr">
        <is>
          <t>Operability</t>
        </is>
      </c>
      <c r="F81" s="22" t="n"/>
      <c r="G81" s="26" t="n"/>
      <c r="H81" s="26" t="n"/>
      <c r="I81" s="26" t="n"/>
      <c r="J81" s="24" t="n"/>
    </row>
    <row r="82">
      <c r="A82" s="21" t="inlineStr">
        <is>
          <t>P10</t>
        </is>
      </c>
      <c r="B82" s="21" t="n">
        <v>6</v>
      </c>
      <c r="C82" s="25" t="inlineStr">
        <is>
          <t>Rate the host after the trip is completed</t>
        </is>
      </c>
      <c r="D82" s="21" t="inlineStr">
        <is>
          <t>Core</t>
        </is>
      </c>
      <c r="E82" s="25" t="inlineStr">
        <is>
          <t>Learnability</t>
        </is>
      </c>
      <c r="F82" s="22" t="n"/>
      <c r="G82" s="26" t="n"/>
      <c r="H82" s="26" t="n"/>
      <c r="I82" s="26" t="n"/>
      <c r="J82" s="24" t="n"/>
    </row>
    <row r="83">
      <c r="A83" s="21" t="inlineStr">
        <is>
          <t>P10</t>
        </is>
      </c>
      <c r="B83" s="21" t="n">
        <v>7</v>
      </c>
      <c r="C83" s="25" t="inlineStr">
        <is>
          <t>Change ride preferences</t>
        </is>
      </c>
      <c r="D83" s="21" t="inlineStr">
        <is>
          <t>Supplementary</t>
        </is>
      </c>
      <c r="E83" s="25" t="inlineStr">
        <is>
          <t>Learnability</t>
        </is>
      </c>
      <c r="F83" s="22" t="n"/>
      <c r="G83" s="26" t="n"/>
      <c r="H83" s="26" t="n"/>
      <c r="I83" s="26" t="n"/>
      <c r="J83" s="24" t="n"/>
    </row>
    <row r="84">
      <c r="A84" s="21" t="inlineStr">
        <is>
          <t>P10</t>
        </is>
      </c>
      <c r="B84" s="21" t="n">
        <v>8</v>
      </c>
      <c r="C84" s="25" t="inlineStr">
        <is>
          <t>Report a user and view report history</t>
        </is>
      </c>
      <c r="D84" s="21" t="inlineStr">
        <is>
          <t>Supplementary</t>
        </is>
      </c>
      <c r="E84" s="25" t="inlineStr">
        <is>
          <t>User error protection</t>
        </is>
      </c>
      <c r="F84" s="22" t="n"/>
      <c r="G84" s="26" t="n"/>
      <c r="H84" s="26" t="n"/>
      <c r="I84" s="26" t="n"/>
      <c r="J84" s="24" t="n"/>
    </row>
    <row r="85">
      <c r="A85" s="21" t="inlineStr">
        <is>
          <t>P11</t>
        </is>
      </c>
      <c r="B85" s="21" t="n">
        <v>1</v>
      </c>
      <c r="C85" s="25" t="inlineStr">
        <is>
          <t>Register an account (email code, password, profile)</t>
        </is>
      </c>
      <c r="D85" s="21" t="inlineStr">
        <is>
          <t>Core</t>
        </is>
      </c>
      <c r="E85" s="25" t="inlineStr">
        <is>
          <t>User error protection</t>
        </is>
      </c>
      <c r="F85" s="22" t="n"/>
      <c r="G85" s="26" t="n"/>
      <c r="H85" s="26" t="n"/>
      <c r="I85" s="26" t="n"/>
      <c r="J85" s="24" t="n"/>
    </row>
    <row r="86">
      <c r="A86" s="21" t="inlineStr">
        <is>
          <t>P11</t>
        </is>
      </c>
      <c r="B86" s="21" t="n">
        <v>2</v>
      </c>
      <c r="C86" s="25" t="inlineStr">
        <is>
          <t>Post a trip (vehicle, route, schedule, seats, fuel price)</t>
        </is>
      </c>
      <c r="D86" s="21" t="inlineStr">
        <is>
          <t>Core</t>
        </is>
      </c>
      <c r="E86" s="25" t="inlineStr">
        <is>
          <t>Operability</t>
        </is>
      </c>
      <c r="F86" s="22" t="n"/>
      <c r="G86" s="26" t="n"/>
      <c r="H86" s="26" t="n"/>
      <c r="I86" s="26" t="n"/>
      <c r="J86" s="24" t="n"/>
    </row>
    <row r="87">
      <c r="A87" s="21" t="inlineStr">
        <is>
          <t>P11</t>
        </is>
      </c>
      <c r="B87" s="21" t="n">
        <v>3</v>
      </c>
      <c r="C87" s="25" t="inlineStr">
        <is>
          <t>Search for a ride and send a join request</t>
        </is>
      </c>
      <c r="D87" s="21" t="inlineStr">
        <is>
          <t>Core</t>
        </is>
      </c>
      <c r="E87" s="25" t="inlineStr">
        <is>
          <t>Appropriateness recognizability</t>
        </is>
      </c>
      <c r="F87" s="22" t="n"/>
      <c r="G87" s="26" t="n"/>
      <c r="H87" s="26" t="n"/>
      <c r="I87" s="26" t="n"/>
      <c r="J87" s="24" t="n"/>
    </row>
    <row r="88">
      <c r="A88" s="21" t="inlineStr">
        <is>
          <t>P11</t>
        </is>
      </c>
      <c r="B88" s="21" t="n">
        <v>4</v>
      </c>
      <c r="C88" s="25" t="inlineStr">
        <is>
          <t>Approve a join request on your trip</t>
        </is>
      </c>
      <c r="D88" s="21" t="inlineStr">
        <is>
          <t>Core</t>
        </is>
      </c>
      <c r="E88" s="25" t="inlineStr">
        <is>
          <t>Operability</t>
        </is>
      </c>
      <c r="F88" s="22" t="n"/>
      <c r="G88" s="26" t="n"/>
      <c r="H88" s="26" t="n"/>
      <c r="I88" s="26" t="n"/>
      <c r="J88" s="24" t="n"/>
    </row>
    <row r="89">
      <c r="A89" s="21" t="inlineStr">
        <is>
          <t>P11</t>
        </is>
      </c>
      <c r="B89" s="21" t="n">
        <v>5</v>
      </c>
      <c r="C89" s="25" t="inlineStr">
        <is>
          <t>Send a message in the trip chat</t>
        </is>
      </c>
      <c r="D89" s="21" t="inlineStr">
        <is>
          <t>Supplementary</t>
        </is>
      </c>
      <c r="E89" s="25" t="inlineStr">
        <is>
          <t>Operability</t>
        </is>
      </c>
      <c r="F89" s="22" t="n"/>
      <c r="G89" s="26" t="n"/>
      <c r="H89" s="26" t="n"/>
      <c r="I89" s="26" t="n"/>
      <c r="J89" s="24" t="n"/>
    </row>
    <row r="90">
      <c r="A90" s="21" t="inlineStr">
        <is>
          <t>P11</t>
        </is>
      </c>
      <c r="B90" s="21" t="n">
        <v>6</v>
      </c>
      <c r="C90" s="25" t="inlineStr">
        <is>
          <t>Rate the host after the trip is completed</t>
        </is>
      </c>
      <c r="D90" s="21" t="inlineStr">
        <is>
          <t>Core</t>
        </is>
      </c>
      <c r="E90" s="25" t="inlineStr">
        <is>
          <t>Learnability</t>
        </is>
      </c>
      <c r="F90" s="22" t="n"/>
      <c r="G90" s="26" t="n"/>
      <c r="H90" s="26" t="n"/>
      <c r="I90" s="26" t="n"/>
      <c r="J90" s="24" t="n"/>
    </row>
    <row r="91">
      <c r="A91" s="21" t="inlineStr">
        <is>
          <t>P11</t>
        </is>
      </c>
      <c r="B91" s="21" t="n">
        <v>7</v>
      </c>
      <c r="C91" s="25" t="inlineStr">
        <is>
          <t>Change ride preferences</t>
        </is>
      </c>
      <c r="D91" s="21" t="inlineStr">
        <is>
          <t>Supplementary</t>
        </is>
      </c>
      <c r="E91" s="25" t="inlineStr">
        <is>
          <t>Learnability</t>
        </is>
      </c>
      <c r="F91" s="22" t="n"/>
      <c r="G91" s="26" t="n"/>
      <c r="H91" s="26" t="n"/>
      <c r="I91" s="26" t="n"/>
      <c r="J91" s="24" t="n"/>
    </row>
    <row r="92">
      <c r="A92" s="21" t="inlineStr">
        <is>
          <t>P11</t>
        </is>
      </c>
      <c r="B92" s="21" t="n">
        <v>8</v>
      </c>
      <c r="C92" s="25" t="inlineStr">
        <is>
          <t>Report a user and view report history</t>
        </is>
      </c>
      <c r="D92" s="21" t="inlineStr">
        <is>
          <t>Supplementary</t>
        </is>
      </c>
      <c r="E92" s="25" t="inlineStr">
        <is>
          <t>User error protection</t>
        </is>
      </c>
      <c r="F92" s="22" t="n"/>
      <c r="G92" s="26" t="n"/>
      <c r="H92" s="26" t="n"/>
      <c r="I92" s="26" t="n"/>
      <c r="J92" s="24" t="n"/>
    </row>
    <row r="93">
      <c r="A93" s="21" t="inlineStr">
        <is>
          <t>P12</t>
        </is>
      </c>
      <c r="B93" s="21" t="n">
        <v>1</v>
      </c>
      <c r="C93" s="25" t="inlineStr">
        <is>
          <t>Register an account (email code, password, profile)</t>
        </is>
      </c>
      <c r="D93" s="21" t="inlineStr">
        <is>
          <t>Core</t>
        </is>
      </c>
      <c r="E93" s="25" t="inlineStr">
        <is>
          <t>User error protection</t>
        </is>
      </c>
      <c r="F93" s="22" t="n"/>
      <c r="G93" s="26" t="n"/>
      <c r="H93" s="26" t="n"/>
      <c r="I93" s="26" t="n"/>
      <c r="J93" s="24" t="n"/>
    </row>
    <row r="94">
      <c r="A94" s="21" t="inlineStr">
        <is>
          <t>P12</t>
        </is>
      </c>
      <c r="B94" s="21" t="n">
        <v>2</v>
      </c>
      <c r="C94" s="25" t="inlineStr">
        <is>
          <t>Post a trip (vehicle, route, schedule, seats, fuel price)</t>
        </is>
      </c>
      <c r="D94" s="21" t="inlineStr">
        <is>
          <t>Core</t>
        </is>
      </c>
      <c r="E94" s="25" t="inlineStr">
        <is>
          <t>Operability</t>
        </is>
      </c>
      <c r="F94" s="22" t="n"/>
      <c r="G94" s="26" t="n"/>
      <c r="H94" s="26" t="n"/>
      <c r="I94" s="26" t="n"/>
      <c r="J94" s="24" t="n"/>
    </row>
    <row r="95">
      <c r="A95" s="21" t="inlineStr">
        <is>
          <t>P12</t>
        </is>
      </c>
      <c r="B95" s="21" t="n">
        <v>3</v>
      </c>
      <c r="C95" s="25" t="inlineStr">
        <is>
          <t>Search for a ride and send a join request</t>
        </is>
      </c>
      <c r="D95" s="21" t="inlineStr">
        <is>
          <t>Core</t>
        </is>
      </c>
      <c r="E95" s="25" t="inlineStr">
        <is>
          <t>Appropriateness recognizability</t>
        </is>
      </c>
      <c r="F95" s="22" t="n"/>
      <c r="G95" s="26" t="n"/>
      <c r="H95" s="26" t="n"/>
      <c r="I95" s="26" t="n"/>
      <c r="J95" s="24" t="n"/>
    </row>
    <row r="96">
      <c r="A96" s="21" t="inlineStr">
        <is>
          <t>P12</t>
        </is>
      </c>
      <c r="B96" s="21" t="n">
        <v>4</v>
      </c>
      <c r="C96" s="25" t="inlineStr">
        <is>
          <t>Approve a join request on your trip</t>
        </is>
      </c>
      <c r="D96" s="21" t="inlineStr">
        <is>
          <t>Core</t>
        </is>
      </c>
      <c r="E96" s="25" t="inlineStr">
        <is>
          <t>Operability</t>
        </is>
      </c>
      <c r="F96" s="22" t="n"/>
      <c r="G96" s="26" t="n"/>
      <c r="H96" s="26" t="n"/>
      <c r="I96" s="26" t="n"/>
      <c r="J96" s="24" t="n"/>
    </row>
    <row r="97">
      <c r="A97" s="21" t="inlineStr">
        <is>
          <t>P12</t>
        </is>
      </c>
      <c r="B97" s="21" t="n">
        <v>5</v>
      </c>
      <c r="C97" s="25" t="inlineStr">
        <is>
          <t>Send a message in the trip chat</t>
        </is>
      </c>
      <c r="D97" s="21" t="inlineStr">
        <is>
          <t>Supplementary</t>
        </is>
      </c>
      <c r="E97" s="25" t="inlineStr">
        <is>
          <t>Operability</t>
        </is>
      </c>
      <c r="F97" s="22" t="n"/>
      <c r="G97" s="26" t="n"/>
      <c r="H97" s="26" t="n"/>
      <c r="I97" s="26" t="n"/>
      <c r="J97" s="24" t="n"/>
    </row>
    <row r="98">
      <c r="A98" s="21" t="inlineStr">
        <is>
          <t>P12</t>
        </is>
      </c>
      <c r="B98" s="21" t="n">
        <v>6</v>
      </c>
      <c r="C98" s="25" t="inlineStr">
        <is>
          <t>Rate the host after the trip is completed</t>
        </is>
      </c>
      <c r="D98" s="21" t="inlineStr">
        <is>
          <t>Core</t>
        </is>
      </c>
      <c r="E98" s="25" t="inlineStr">
        <is>
          <t>Learnability</t>
        </is>
      </c>
      <c r="F98" s="22" t="n"/>
      <c r="G98" s="26" t="n"/>
      <c r="H98" s="26" t="n"/>
      <c r="I98" s="26" t="n"/>
      <c r="J98" s="24" t="n"/>
    </row>
    <row r="99">
      <c r="A99" s="21" t="inlineStr">
        <is>
          <t>P12</t>
        </is>
      </c>
      <c r="B99" s="21" t="n">
        <v>7</v>
      </c>
      <c r="C99" s="25" t="inlineStr">
        <is>
          <t>Change ride preferences</t>
        </is>
      </c>
      <c r="D99" s="21" t="inlineStr">
        <is>
          <t>Supplementary</t>
        </is>
      </c>
      <c r="E99" s="25" t="inlineStr">
        <is>
          <t>Learnability</t>
        </is>
      </c>
      <c r="F99" s="22" t="n"/>
      <c r="G99" s="26" t="n"/>
      <c r="H99" s="26" t="n"/>
      <c r="I99" s="26" t="n"/>
      <c r="J99" s="24" t="n"/>
    </row>
    <row r="100">
      <c r="A100" s="21" t="inlineStr">
        <is>
          <t>P12</t>
        </is>
      </c>
      <c r="B100" s="21" t="n">
        <v>8</v>
      </c>
      <c r="C100" s="25" t="inlineStr">
        <is>
          <t>Report a user and view report history</t>
        </is>
      </c>
      <c r="D100" s="21" t="inlineStr">
        <is>
          <t>Supplementary</t>
        </is>
      </c>
      <c r="E100" s="25" t="inlineStr">
        <is>
          <t>User error protection</t>
        </is>
      </c>
      <c r="F100" s="22" t="n"/>
      <c r="G100" s="26" t="n"/>
      <c r="H100" s="26" t="n"/>
      <c r="I100" s="26" t="n"/>
      <c r="J100" s="24" t="n"/>
    </row>
  </sheetData>
  <autoFilter ref="A4:J100"/>
  <dataValidations count="4">
    <dataValidation sqref="F5:F100" showDropDown="0" showInputMessage="0" showErrorMessage="1" allowBlank="1" errorTitle="Outcome" error="Choose Completed, Assisted or Failed." type="list">
      <formula1>"Completed,Assisted,Failed"</formula1>
    </dataValidation>
    <dataValidation sqref="G5:G100" showDropDown="0" showInputMessage="0" showErrorMessage="1" allowBlank="1" error="Seconds, 0 to 3600." type="decimal" operator="between">
      <formula1>0</formula1>
      <formula2>3600</formula2>
    </dataValidation>
    <dataValidation sqref="H5:H100" showDropDown="0" showInputMessage="0" showErrorMessage="1" allowBlank="1" error="A whole number of errors." type="whole" operator="between">
      <formula1>0</formula1>
      <formula2>50</formula2>
    </dataValidation>
    <dataValidation sqref="I5:I100" showDropDown="0" showInputMessage="0" showErrorMessage="1" allowBlank="1" error="1 = very difficult ... 5 = very easy.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1" customWidth="1" min="12" max="12"/>
    <col width="18" customWidth="1" min="13" max="13"/>
    <col width="16" customWidth="1" min="14" max="14"/>
  </cols>
  <sheetData>
    <row r="1">
      <c r="A1" s="1" t="inlineStr">
        <is>
          <t>System Usability Scale responses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1 = strongly disagree ... 5 = strongly agree. Odd items are positive, even items negative. A score appears once all 10 answers are in.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5" t="inlineStr">
        <is>
          <t>Participant</t>
        </is>
      </c>
      <c r="B4" s="15" t="inlineStr">
        <is>
          <t>Q1</t>
        </is>
      </c>
      <c r="C4" s="15" t="inlineStr">
        <is>
          <t>Q2</t>
        </is>
      </c>
      <c r="D4" s="15" t="inlineStr">
        <is>
          <t>Q3</t>
        </is>
      </c>
      <c r="E4" s="15" t="inlineStr">
        <is>
          <t>Q4</t>
        </is>
      </c>
      <c r="F4" s="15" t="inlineStr">
        <is>
          <t>Q5</t>
        </is>
      </c>
      <c r="G4" s="15" t="inlineStr">
        <is>
          <t>Q6</t>
        </is>
      </c>
      <c r="H4" s="15" t="inlineStr">
        <is>
          <t>Q7</t>
        </is>
      </c>
      <c r="I4" s="15" t="inlineStr">
        <is>
          <t>Q8</t>
        </is>
      </c>
      <c r="J4" s="15" t="inlineStr">
        <is>
          <t>Q9</t>
        </is>
      </c>
      <c r="K4" s="15" t="inlineStr">
        <is>
          <t>Q10</t>
        </is>
      </c>
      <c r="L4" s="15" t="inlineStr">
        <is>
          <t>SUS score</t>
        </is>
      </c>
      <c r="M4" s="15" t="inlineStr">
        <is>
          <t>Adjective</t>
        </is>
      </c>
      <c r="N4" s="15" t="inlineStr">
        <is>
          <t>Acceptability</t>
        </is>
      </c>
    </row>
    <row r="5">
      <c r="A5" s="21" t="inlineStr">
        <is>
          <t>P01</t>
        </is>
      </c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7">
        <f>IF(COUNT(B5:K5)&lt;10,"",((B5-1)+(5-C5)+(D5-1)+(5-E5)+(F5-1)+(5-G5)+(H5-1)+(5-I5)+(J5-1)+(5-K5))*2.5)</f>
        <v/>
      </c>
      <c r="M5" s="21">
        <f>IF(L5="","",INDEX(Scales!$B$15:$B$21,MATCH(L5,Scales!$A$15:$A$21,1)))</f>
        <v/>
      </c>
      <c r="N5" s="21">
        <f>IF(L5="","",INDEX(Scales!$B$26:$B$28,MATCH(L5,Scales!$A$26:$A$28,1)))</f>
        <v/>
      </c>
    </row>
    <row r="6">
      <c r="A6" s="21" t="inlineStr">
        <is>
          <t>P02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7">
        <f>IF(COUNT(B6:K6)&lt;10,"",((B6-1)+(5-C6)+(D6-1)+(5-E6)+(F6-1)+(5-G6)+(H6-1)+(5-I6)+(J6-1)+(5-K6))*2.5)</f>
        <v/>
      </c>
      <c r="M6" s="21">
        <f>IF(L6="","",INDEX(Scales!$B$15:$B$21,MATCH(L6,Scales!$A$15:$A$21,1)))</f>
        <v/>
      </c>
      <c r="N6" s="21">
        <f>IF(L6="","",INDEX(Scales!$B$26:$B$28,MATCH(L6,Scales!$A$26:$A$28,1)))</f>
        <v/>
      </c>
    </row>
    <row r="7">
      <c r="A7" s="21" t="inlineStr">
        <is>
          <t>P03</t>
        </is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7">
        <f>IF(COUNT(B7:K7)&lt;10,"",((B7-1)+(5-C7)+(D7-1)+(5-E7)+(F7-1)+(5-G7)+(H7-1)+(5-I7)+(J7-1)+(5-K7))*2.5)</f>
        <v/>
      </c>
      <c r="M7" s="21">
        <f>IF(L7="","",INDEX(Scales!$B$15:$B$21,MATCH(L7,Scales!$A$15:$A$21,1)))</f>
        <v/>
      </c>
      <c r="N7" s="21">
        <f>IF(L7="","",INDEX(Scales!$B$26:$B$28,MATCH(L7,Scales!$A$26:$A$28,1)))</f>
        <v/>
      </c>
    </row>
    <row r="8">
      <c r="A8" s="21" t="inlineStr">
        <is>
          <t>P04</t>
        </is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7">
        <f>IF(COUNT(B8:K8)&lt;10,"",((B8-1)+(5-C8)+(D8-1)+(5-E8)+(F8-1)+(5-G8)+(H8-1)+(5-I8)+(J8-1)+(5-K8))*2.5)</f>
        <v/>
      </c>
      <c r="M8" s="21">
        <f>IF(L8="","",INDEX(Scales!$B$15:$B$21,MATCH(L8,Scales!$A$15:$A$21,1)))</f>
        <v/>
      </c>
      <c r="N8" s="21">
        <f>IF(L8="","",INDEX(Scales!$B$26:$B$28,MATCH(L8,Scales!$A$26:$A$28,1)))</f>
        <v/>
      </c>
    </row>
    <row r="9">
      <c r="A9" s="21" t="inlineStr">
        <is>
          <t>P05</t>
        </is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7">
        <f>IF(COUNT(B9:K9)&lt;10,"",((B9-1)+(5-C9)+(D9-1)+(5-E9)+(F9-1)+(5-G9)+(H9-1)+(5-I9)+(J9-1)+(5-K9))*2.5)</f>
        <v/>
      </c>
      <c r="M9" s="21">
        <f>IF(L9="","",INDEX(Scales!$B$15:$B$21,MATCH(L9,Scales!$A$15:$A$21,1)))</f>
        <v/>
      </c>
      <c r="N9" s="21">
        <f>IF(L9="","",INDEX(Scales!$B$26:$B$28,MATCH(L9,Scales!$A$26:$A$28,1)))</f>
        <v/>
      </c>
    </row>
    <row r="10">
      <c r="A10" s="21" t="inlineStr">
        <is>
          <t>P06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7">
        <f>IF(COUNT(B10:K10)&lt;10,"",((B10-1)+(5-C10)+(D10-1)+(5-E10)+(F10-1)+(5-G10)+(H10-1)+(5-I10)+(J10-1)+(5-K10))*2.5)</f>
        <v/>
      </c>
      <c r="M10" s="21">
        <f>IF(L10="","",INDEX(Scales!$B$15:$B$21,MATCH(L10,Scales!$A$15:$A$21,1)))</f>
        <v/>
      </c>
      <c r="N10" s="21">
        <f>IF(L10="","",INDEX(Scales!$B$26:$B$28,MATCH(L10,Scales!$A$26:$A$28,1)))</f>
        <v/>
      </c>
    </row>
    <row r="11">
      <c r="A11" s="21" t="inlineStr">
        <is>
          <t>P07</t>
        </is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7">
        <f>IF(COUNT(B11:K11)&lt;10,"",((B11-1)+(5-C11)+(D11-1)+(5-E11)+(F11-1)+(5-G11)+(H11-1)+(5-I11)+(J11-1)+(5-K11))*2.5)</f>
        <v/>
      </c>
      <c r="M11" s="21">
        <f>IF(L11="","",INDEX(Scales!$B$15:$B$21,MATCH(L11,Scales!$A$15:$A$21,1)))</f>
        <v/>
      </c>
      <c r="N11" s="21">
        <f>IF(L11="","",INDEX(Scales!$B$26:$B$28,MATCH(L11,Scales!$A$26:$A$28,1)))</f>
        <v/>
      </c>
    </row>
    <row r="12">
      <c r="A12" s="21" t="inlineStr">
        <is>
          <t>P08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7">
        <f>IF(COUNT(B12:K12)&lt;10,"",((B12-1)+(5-C12)+(D12-1)+(5-E12)+(F12-1)+(5-G12)+(H12-1)+(5-I12)+(J12-1)+(5-K12))*2.5)</f>
        <v/>
      </c>
      <c r="M12" s="21">
        <f>IF(L12="","",INDEX(Scales!$B$15:$B$21,MATCH(L12,Scales!$A$15:$A$21,1)))</f>
        <v/>
      </c>
      <c r="N12" s="21">
        <f>IF(L12="","",INDEX(Scales!$B$26:$B$28,MATCH(L12,Scales!$A$26:$A$28,1)))</f>
        <v/>
      </c>
    </row>
    <row r="13">
      <c r="A13" s="21" t="inlineStr">
        <is>
          <t>P09</t>
        </is>
      </c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7">
        <f>IF(COUNT(B13:K13)&lt;10,"",((B13-1)+(5-C13)+(D13-1)+(5-E13)+(F13-1)+(5-G13)+(H13-1)+(5-I13)+(J13-1)+(5-K13))*2.5)</f>
        <v/>
      </c>
      <c r="M13" s="21">
        <f>IF(L13="","",INDEX(Scales!$B$15:$B$21,MATCH(L13,Scales!$A$15:$A$21,1)))</f>
        <v/>
      </c>
      <c r="N13" s="21">
        <f>IF(L13="","",INDEX(Scales!$B$26:$B$28,MATCH(L13,Scales!$A$26:$A$28,1)))</f>
        <v/>
      </c>
    </row>
    <row r="14">
      <c r="A14" s="21" t="inlineStr">
        <is>
          <t>P10</t>
        </is>
      </c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7">
        <f>IF(COUNT(B14:K14)&lt;10,"",((B14-1)+(5-C14)+(D14-1)+(5-E14)+(F14-1)+(5-G14)+(H14-1)+(5-I14)+(J14-1)+(5-K14))*2.5)</f>
        <v/>
      </c>
      <c r="M14" s="21">
        <f>IF(L14="","",INDEX(Scales!$B$15:$B$21,MATCH(L14,Scales!$A$15:$A$21,1)))</f>
        <v/>
      </c>
      <c r="N14" s="21">
        <f>IF(L14="","",INDEX(Scales!$B$26:$B$28,MATCH(L14,Scales!$A$26:$A$28,1)))</f>
        <v/>
      </c>
    </row>
    <row r="15">
      <c r="A15" s="21" t="inlineStr">
        <is>
          <t>P11</t>
        </is>
      </c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7">
        <f>IF(COUNT(B15:K15)&lt;10,"",((B15-1)+(5-C15)+(D15-1)+(5-E15)+(F15-1)+(5-G15)+(H15-1)+(5-I15)+(J15-1)+(5-K15))*2.5)</f>
        <v/>
      </c>
      <c r="M15" s="21">
        <f>IF(L15="","",INDEX(Scales!$B$15:$B$21,MATCH(L15,Scales!$A$15:$A$21,1)))</f>
        <v/>
      </c>
      <c r="N15" s="21">
        <f>IF(L15="","",INDEX(Scales!$B$26:$B$28,MATCH(L15,Scales!$A$26:$A$28,1)))</f>
        <v/>
      </c>
    </row>
    <row r="16">
      <c r="A16" s="21" t="inlineStr">
        <is>
          <t>P12</t>
        </is>
      </c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7">
        <f>IF(COUNT(B16:K16)&lt;10,"",((B16-1)+(5-C16)+(D16-1)+(5-E16)+(F16-1)+(5-G16)+(H16-1)+(5-I16)+(J16-1)+(5-K16))*2.5)</f>
        <v/>
      </c>
      <c r="M16" s="21">
        <f>IF(L16="","",INDEX(Scales!$B$15:$B$21,MATCH(L16,Scales!$A$15:$A$21,1)))</f>
        <v/>
      </c>
      <c r="N16" s="21">
        <f>IF(L16="","",INDEX(Scales!$B$26:$B$28,MATCH(L16,Scales!$A$26:$A$28,1)))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5" t="inlineStr">
        <is>
          <t>Participants scored (n)</t>
        </is>
      </c>
      <c r="B18" s="2" t="n"/>
      <c r="C18" s="2" t="n"/>
      <c r="D18" s="2" t="n"/>
      <c r="E18" s="28">
        <f>COUNT($L$5:$L$16)</f>
        <v/>
      </c>
      <c r="F18" s="29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5" t="inlineStr">
        <is>
          <t>Mean SUS</t>
        </is>
      </c>
      <c r="B19" s="2" t="n"/>
      <c r="C19" s="2" t="n"/>
      <c r="D19" s="2" t="n"/>
      <c r="E19" s="27">
        <f>IF(COUNT($L$5:$L$16)=0,"",AVERAGE($L$5:$L$16))</f>
        <v/>
      </c>
      <c r="F19" s="29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5" t="inlineStr">
        <is>
          <t>Standard deviation</t>
        </is>
      </c>
      <c r="B20" s="2" t="n"/>
      <c r="C20" s="2" t="n"/>
      <c r="D20" s="2" t="n"/>
      <c r="E20" s="27">
        <f>IF(COUNT($L$5:$L$16)&lt;2,"",STDEV($L$5:$L$16))</f>
        <v/>
      </c>
      <c r="F20" s="29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5" t="inlineStr">
        <is>
          <t>Lowest</t>
        </is>
      </c>
      <c r="B21" s="2" t="n"/>
      <c r="C21" s="2" t="n"/>
      <c r="D21" s="2" t="n"/>
      <c r="E21" s="27">
        <f>IF(COUNT($L$5:$L$16)=0,"",MIN($L$5:$L$16))</f>
        <v/>
      </c>
      <c r="F21" s="29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5" t="inlineStr">
        <is>
          <t>Highest</t>
        </is>
      </c>
      <c r="B22" s="2" t="n"/>
      <c r="C22" s="2" t="n"/>
      <c r="D22" s="2" t="n"/>
      <c r="E22" s="27">
        <f>IF(COUNT($L$5:$L$16)=0,"",MAX($L$5:$L$16))</f>
        <v/>
      </c>
      <c r="F22" s="29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19" t="inlineStr">
        <is>
          <t>Standard deviation is the sample SD (STDEV). Item wording: hover over Q1-Q10, or see the Instructions tab.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</sheetData>
  <mergeCells count="10">
    <mergeCell ref="A18:D18"/>
    <mergeCell ref="E20:F20"/>
    <mergeCell ref="A22:D22"/>
    <mergeCell ref="A20:D20"/>
    <mergeCell ref="E19:F19"/>
    <mergeCell ref="A21:D21"/>
    <mergeCell ref="E22:F22"/>
    <mergeCell ref="A19:D19"/>
    <mergeCell ref="E18:F18"/>
    <mergeCell ref="E21:F21"/>
  </mergeCells>
  <dataValidations count="1">
    <dataValidation sqref="B5:K16" showDropDown="0" showInputMessage="0" showErrorMessage="1" allowBlank="1" errorTitle="SUS" error="SUS answers are whole numbers from 1 to 5.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28" customWidth="1" min="4" max="4"/>
    <col width="10" customWidth="1" min="5" max="5"/>
    <col width="10" customWidth="1" min="6" max="6"/>
    <col width="10" customWidth="1" min="7" max="7"/>
    <col width="8" customWidth="1" min="8" max="8"/>
    <col width="12" customWidth="1" min="9" max="9"/>
    <col width="11" customWidth="1" min="10" max="10"/>
    <col width="11" customWidth="1" min="11" max="11"/>
    <col width="10" customWidth="1" min="12" max="12"/>
    <col width="10" customWidth="1" min="13" max="13"/>
    <col width="18" customWidth="1" min="14" max="14"/>
  </cols>
  <sheetData>
    <row r="1">
      <c r="A1" s="1" t="inlineStr">
        <is>
          <t>UAT results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Everything on this tab is calculated. Blank means no data has been entered yet.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5" t="inlineStr">
        <is>
          <t>Task #</t>
        </is>
      </c>
      <c r="B4" s="15" t="inlineStr">
        <is>
          <t>Task</t>
        </is>
      </c>
      <c r="C4" s="15" t="inlineStr">
        <is>
          <t>Type</t>
        </is>
      </c>
      <c r="D4" s="15" t="inlineStr">
        <is>
          <t>ISO/IEC 25010 sub-characteristic</t>
        </is>
      </c>
      <c r="E4" s="15" t="inlineStr">
        <is>
          <t>Attempted</t>
        </is>
      </c>
      <c r="F4" s="15" t="inlineStr">
        <is>
          <t>Completed</t>
        </is>
      </c>
      <c r="G4" s="15" t="inlineStr">
        <is>
          <t>Assisted</t>
        </is>
      </c>
      <c r="H4" s="15" t="inlineStr">
        <is>
          <t>Failed</t>
        </is>
      </c>
      <c r="I4" s="15" t="inlineStr">
        <is>
          <t>Unassisted success</t>
        </is>
      </c>
      <c r="J4" s="15" t="inlineStr">
        <is>
          <t>Overall success</t>
        </is>
      </c>
      <c r="K4" s="15" t="inlineStr">
        <is>
          <t>Mean time (s)</t>
        </is>
      </c>
      <c r="L4" s="15" t="inlineStr">
        <is>
          <t>Mean errors</t>
        </is>
      </c>
      <c r="M4" s="15" t="inlineStr">
        <is>
          <t>Mean ease</t>
        </is>
      </c>
      <c r="N4" s="15" t="inlineStr">
        <is>
          <t>Ease interpretation</t>
        </is>
      </c>
    </row>
    <row r="5">
      <c r="A5" s="17" t="n">
        <v>1</v>
      </c>
      <c r="B5" s="30" t="inlineStr">
        <is>
          <t>Register an account (email code, password, profile)</t>
        </is>
      </c>
      <c r="C5" s="17" t="inlineStr">
        <is>
          <t>Core</t>
        </is>
      </c>
      <c r="D5" s="30" t="inlineStr">
        <is>
          <t>User error protection</t>
        </is>
      </c>
      <c r="E5" s="28">
        <f>COUNTIFS(Tasks!$B$5:$B$100,A5,Tasks!$F$5:$F$100,"Completed")+COUNTIFS(Tasks!$B$5:$B$100,A5,Tasks!$F$5:$F$100,"Assisted")+COUNTIFS(Tasks!$B$5:$B$100,A5,Tasks!$F$5:$F$100,"Failed")</f>
        <v/>
      </c>
      <c r="F5" s="28">
        <f>COUNTIFS(Tasks!$B$5:$B$100,A5,Tasks!$F$5:$F$100,"Completed")</f>
        <v/>
      </c>
      <c r="G5" s="28">
        <f>COUNTIFS(Tasks!$B$5:$B$100,A5,Tasks!$F$5:$F$100,"Assisted")</f>
        <v/>
      </c>
      <c r="H5" s="28">
        <f>COUNTIFS(Tasks!$B$5:$B$100,A5,Tasks!$F$5:$F$100,"Failed")</f>
        <v/>
      </c>
      <c r="I5" s="31">
        <f>IF(E5=0,"",F5/E5)</f>
        <v/>
      </c>
      <c r="J5" s="31">
        <f>IF(E5=0,"",(F5+G5)/E5)</f>
        <v/>
      </c>
      <c r="K5" s="28">
        <f>IF(F5+G5=0,"",IFERROR((SUMIFS(Tasks!$G$5:$G$100,Tasks!$B$5:$B$100,A5,Tasks!$F$5:$F$100,"Completed")+SUMIFS(Tasks!$G$5:$G$100,Tasks!$B$5:$B$100,A5,Tasks!$F$5:$F$100,"Assisted"))/(COUNTIFS(Tasks!$B$5:$B$100,A5,Tasks!$F$5:$F$100,"Completed",Tasks!$G$5:$G$100,"&gt;=0")+COUNTIFS(Tasks!$B$5:$B$100,A5,Tasks!$F$5:$F$100,"Assisted",Tasks!$G$5:$G$100,"&gt;=0")),""))</f>
        <v/>
      </c>
      <c r="L5" s="27">
        <f>IF(E5=0,"",IFERROR(AVERAGEIFS(Tasks!$H$5:$H$100,Tasks!$B$5:$B$100,A5),""))</f>
        <v/>
      </c>
      <c r="M5" s="32">
        <f>IF(E5=0,"",IFERROR(AVERAGEIFS(Tasks!$I$5:$I$100,Tasks!$B$5:$B$100,A5),""))</f>
        <v/>
      </c>
      <c r="N5" s="21">
        <f>IF(M5="","",INDEX(Scales!$C$6:$C$10,MATCH(M5,Scales!$A$6:$A$10,1)))</f>
        <v/>
      </c>
    </row>
    <row r="6">
      <c r="A6" s="17" t="n">
        <v>2</v>
      </c>
      <c r="B6" s="30" t="inlineStr">
        <is>
          <t>Post a trip (vehicle, route, schedule, seats, fuel price)</t>
        </is>
      </c>
      <c r="C6" s="17" t="inlineStr">
        <is>
          <t>Core</t>
        </is>
      </c>
      <c r="D6" s="30" t="inlineStr">
        <is>
          <t>Operability</t>
        </is>
      </c>
      <c r="E6" s="28">
        <f>COUNTIFS(Tasks!$B$5:$B$100,A6,Tasks!$F$5:$F$100,"Completed")+COUNTIFS(Tasks!$B$5:$B$100,A6,Tasks!$F$5:$F$100,"Assisted")+COUNTIFS(Tasks!$B$5:$B$100,A6,Tasks!$F$5:$F$100,"Failed")</f>
        <v/>
      </c>
      <c r="F6" s="28">
        <f>COUNTIFS(Tasks!$B$5:$B$100,A6,Tasks!$F$5:$F$100,"Completed")</f>
        <v/>
      </c>
      <c r="G6" s="28">
        <f>COUNTIFS(Tasks!$B$5:$B$100,A6,Tasks!$F$5:$F$100,"Assisted")</f>
        <v/>
      </c>
      <c r="H6" s="28">
        <f>COUNTIFS(Tasks!$B$5:$B$100,A6,Tasks!$F$5:$F$100,"Failed")</f>
        <v/>
      </c>
      <c r="I6" s="31">
        <f>IF(E6=0,"",F6/E6)</f>
        <v/>
      </c>
      <c r="J6" s="31">
        <f>IF(E6=0,"",(F6+G6)/E6)</f>
        <v/>
      </c>
      <c r="K6" s="28">
        <f>IF(F6+G6=0,"",IFERROR((SUMIFS(Tasks!$G$5:$G$100,Tasks!$B$5:$B$100,A6,Tasks!$F$5:$F$100,"Completed")+SUMIFS(Tasks!$G$5:$G$100,Tasks!$B$5:$B$100,A6,Tasks!$F$5:$F$100,"Assisted"))/(COUNTIFS(Tasks!$B$5:$B$100,A6,Tasks!$F$5:$F$100,"Completed",Tasks!$G$5:$G$100,"&gt;=0")+COUNTIFS(Tasks!$B$5:$B$100,A6,Tasks!$F$5:$F$100,"Assisted",Tasks!$G$5:$G$100,"&gt;=0")),""))</f>
        <v/>
      </c>
      <c r="L6" s="27">
        <f>IF(E6=0,"",IFERROR(AVERAGEIFS(Tasks!$H$5:$H$100,Tasks!$B$5:$B$100,A6),""))</f>
        <v/>
      </c>
      <c r="M6" s="32">
        <f>IF(E6=0,"",IFERROR(AVERAGEIFS(Tasks!$I$5:$I$100,Tasks!$B$5:$B$100,A6),""))</f>
        <v/>
      </c>
      <c r="N6" s="21">
        <f>IF(M6="","",INDEX(Scales!$C$6:$C$10,MATCH(M6,Scales!$A$6:$A$10,1)))</f>
        <v/>
      </c>
    </row>
    <row r="7">
      <c r="A7" s="17" t="n">
        <v>3</v>
      </c>
      <c r="B7" s="30" t="inlineStr">
        <is>
          <t>Search for a ride and send a join request</t>
        </is>
      </c>
      <c r="C7" s="17" t="inlineStr">
        <is>
          <t>Core</t>
        </is>
      </c>
      <c r="D7" s="30" t="inlineStr">
        <is>
          <t>Appropriateness recognizability</t>
        </is>
      </c>
      <c r="E7" s="28">
        <f>COUNTIFS(Tasks!$B$5:$B$100,A7,Tasks!$F$5:$F$100,"Completed")+COUNTIFS(Tasks!$B$5:$B$100,A7,Tasks!$F$5:$F$100,"Assisted")+COUNTIFS(Tasks!$B$5:$B$100,A7,Tasks!$F$5:$F$100,"Failed")</f>
        <v/>
      </c>
      <c r="F7" s="28">
        <f>COUNTIFS(Tasks!$B$5:$B$100,A7,Tasks!$F$5:$F$100,"Completed")</f>
        <v/>
      </c>
      <c r="G7" s="28">
        <f>COUNTIFS(Tasks!$B$5:$B$100,A7,Tasks!$F$5:$F$100,"Assisted")</f>
        <v/>
      </c>
      <c r="H7" s="28">
        <f>COUNTIFS(Tasks!$B$5:$B$100,A7,Tasks!$F$5:$F$100,"Failed")</f>
        <v/>
      </c>
      <c r="I7" s="31">
        <f>IF(E7=0,"",F7/E7)</f>
        <v/>
      </c>
      <c r="J7" s="31">
        <f>IF(E7=0,"",(F7+G7)/E7)</f>
        <v/>
      </c>
      <c r="K7" s="28">
        <f>IF(F7+G7=0,"",IFERROR((SUMIFS(Tasks!$G$5:$G$100,Tasks!$B$5:$B$100,A7,Tasks!$F$5:$F$100,"Completed")+SUMIFS(Tasks!$G$5:$G$100,Tasks!$B$5:$B$100,A7,Tasks!$F$5:$F$100,"Assisted"))/(COUNTIFS(Tasks!$B$5:$B$100,A7,Tasks!$F$5:$F$100,"Completed",Tasks!$G$5:$G$100,"&gt;=0")+COUNTIFS(Tasks!$B$5:$B$100,A7,Tasks!$F$5:$F$100,"Assisted",Tasks!$G$5:$G$100,"&gt;=0")),""))</f>
        <v/>
      </c>
      <c r="L7" s="27">
        <f>IF(E7=0,"",IFERROR(AVERAGEIFS(Tasks!$H$5:$H$100,Tasks!$B$5:$B$100,A7),""))</f>
        <v/>
      </c>
      <c r="M7" s="32">
        <f>IF(E7=0,"",IFERROR(AVERAGEIFS(Tasks!$I$5:$I$100,Tasks!$B$5:$B$100,A7),""))</f>
        <v/>
      </c>
      <c r="N7" s="21">
        <f>IF(M7="","",INDEX(Scales!$C$6:$C$10,MATCH(M7,Scales!$A$6:$A$10,1)))</f>
        <v/>
      </c>
    </row>
    <row r="8">
      <c r="A8" s="17" t="n">
        <v>4</v>
      </c>
      <c r="B8" s="30" t="inlineStr">
        <is>
          <t>Approve a join request on your trip</t>
        </is>
      </c>
      <c r="C8" s="17" t="inlineStr">
        <is>
          <t>Core</t>
        </is>
      </c>
      <c r="D8" s="30" t="inlineStr">
        <is>
          <t>Operability</t>
        </is>
      </c>
      <c r="E8" s="28">
        <f>COUNTIFS(Tasks!$B$5:$B$100,A8,Tasks!$F$5:$F$100,"Completed")+COUNTIFS(Tasks!$B$5:$B$100,A8,Tasks!$F$5:$F$100,"Assisted")+COUNTIFS(Tasks!$B$5:$B$100,A8,Tasks!$F$5:$F$100,"Failed")</f>
        <v/>
      </c>
      <c r="F8" s="28">
        <f>COUNTIFS(Tasks!$B$5:$B$100,A8,Tasks!$F$5:$F$100,"Completed")</f>
        <v/>
      </c>
      <c r="G8" s="28">
        <f>COUNTIFS(Tasks!$B$5:$B$100,A8,Tasks!$F$5:$F$100,"Assisted")</f>
        <v/>
      </c>
      <c r="H8" s="28">
        <f>COUNTIFS(Tasks!$B$5:$B$100,A8,Tasks!$F$5:$F$100,"Failed")</f>
        <v/>
      </c>
      <c r="I8" s="31">
        <f>IF(E8=0,"",F8/E8)</f>
        <v/>
      </c>
      <c r="J8" s="31">
        <f>IF(E8=0,"",(F8+G8)/E8)</f>
        <v/>
      </c>
      <c r="K8" s="28">
        <f>IF(F8+G8=0,"",IFERROR((SUMIFS(Tasks!$G$5:$G$100,Tasks!$B$5:$B$100,A8,Tasks!$F$5:$F$100,"Completed")+SUMIFS(Tasks!$G$5:$G$100,Tasks!$B$5:$B$100,A8,Tasks!$F$5:$F$100,"Assisted"))/(COUNTIFS(Tasks!$B$5:$B$100,A8,Tasks!$F$5:$F$100,"Completed",Tasks!$G$5:$G$100,"&gt;=0")+COUNTIFS(Tasks!$B$5:$B$100,A8,Tasks!$F$5:$F$100,"Assisted",Tasks!$G$5:$G$100,"&gt;=0")),""))</f>
        <v/>
      </c>
      <c r="L8" s="27">
        <f>IF(E8=0,"",IFERROR(AVERAGEIFS(Tasks!$H$5:$H$100,Tasks!$B$5:$B$100,A8),""))</f>
        <v/>
      </c>
      <c r="M8" s="32">
        <f>IF(E8=0,"",IFERROR(AVERAGEIFS(Tasks!$I$5:$I$100,Tasks!$B$5:$B$100,A8),""))</f>
        <v/>
      </c>
      <c r="N8" s="21">
        <f>IF(M8="","",INDEX(Scales!$C$6:$C$10,MATCH(M8,Scales!$A$6:$A$10,1)))</f>
        <v/>
      </c>
    </row>
    <row r="9">
      <c r="A9" s="17" t="n">
        <v>5</v>
      </c>
      <c r="B9" s="30" t="inlineStr">
        <is>
          <t>Send a message in the trip chat</t>
        </is>
      </c>
      <c r="C9" s="17" t="inlineStr">
        <is>
          <t>Supplementary</t>
        </is>
      </c>
      <c r="D9" s="30" t="inlineStr">
        <is>
          <t>Operability</t>
        </is>
      </c>
      <c r="E9" s="28">
        <f>COUNTIFS(Tasks!$B$5:$B$100,A9,Tasks!$F$5:$F$100,"Completed")+COUNTIFS(Tasks!$B$5:$B$100,A9,Tasks!$F$5:$F$100,"Assisted")+COUNTIFS(Tasks!$B$5:$B$100,A9,Tasks!$F$5:$F$100,"Failed")</f>
        <v/>
      </c>
      <c r="F9" s="28">
        <f>COUNTIFS(Tasks!$B$5:$B$100,A9,Tasks!$F$5:$F$100,"Completed")</f>
        <v/>
      </c>
      <c r="G9" s="28">
        <f>COUNTIFS(Tasks!$B$5:$B$100,A9,Tasks!$F$5:$F$100,"Assisted")</f>
        <v/>
      </c>
      <c r="H9" s="28">
        <f>COUNTIFS(Tasks!$B$5:$B$100,A9,Tasks!$F$5:$F$100,"Failed")</f>
        <v/>
      </c>
      <c r="I9" s="31">
        <f>IF(E9=0,"",F9/E9)</f>
        <v/>
      </c>
      <c r="J9" s="31">
        <f>IF(E9=0,"",(F9+G9)/E9)</f>
        <v/>
      </c>
      <c r="K9" s="28">
        <f>IF(F9+G9=0,"",IFERROR((SUMIFS(Tasks!$G$5:$G$100,Tasks!$B$5:$B$100,A9,Tasks!$F$5:$F$100,"Completed")+SUMIFS(Tasks!$G$5:$G$100,Tasks!$B$5:$B$100,A9,Tasks!$F$5:$F$100,"Assisted"))/(COUNTIFS(Tasks!$B$5:$B$100,A9,Tasks!$F$5:$F$100,"Completed",Tasks!$G$5:$G$100,"&gt;=0")+COUNTIFS(Tasks!$B$5:$B$100,A9,Tasks!$F$5:$F$100,"Assisted",Tasks!$G$5:$G$100,"&gt;=0")),""))</f>
        <v/>
      </c>
      <c r="L9" s="27">
        <f>IF(E9=0,"",IFERROR(AVERAGEIFS(Tasks!$H$5:$H$100,Tasks!$B$5:$B$100,A9),""))</f>
        <v/>
      </c>
      <c r="M9" s="32">
        <f>IF(E9=0,"",IFERROR(AVERAGEIFS(Tasks!$I$5:$I$100,Tasks!$B$5:$B$100,A9),""))</f>
        <v/>
      </c>
      <c r="N9" s="21">
        <f>IF(M9="","",INDEX(Scales!$C$6:$C$10,MATCH(M9,Scales!$A$6:$A$10,1)))</f>
        <v/>
      </c>
    </row>
    <row r="10">
      <c r="A10" s="17" t="n">
        <v>6</v>
      </c>
      <c r="B10" s="30" t="inlineStr">
        <is>
          <t>Rate the host after the trip is completed</t>
        </is>
      </c>
      <c r="C10" s="17" t="inlineStr">
        <is>
          <t>Core</t>
        </is>
      </c>
      <c r="D10" s="30" t="inlineStr">
        <is>
          <t>Learnability</t>
        </is>
      </c>
      <c r="E10" s="28">
        <f>COUNTIFS(Tasks!$B$5:$B$100,A10,Tasks!$F$5:$F$100,"Completed")+COUNTIFS(Tasks!$B$5:$B$100,A10,Tasks!$F$5:$F$100,"Assisted")+COUNTIFS(Tasks!$B$5:$B$100,A10,Tasks!$F$5:$F$100,"Failed")</f>
        <v/>
      </c>
      <c r="F10" s="28">
        <f>COUNTIFS(Tasks!$B$5:$B$100,A10,Tasks!$F$5:$F$100,"Completed")</f>
        <v/>
      </c>
      <c r="G10" s="28">
        <f>COUNTIFS(Tasks!$B$5:$B$100,A10,Tasks!$F$5:$F$100,"Assisted")</f>
        <v/>
      </c>
      <c r="H10" s="28">
        <f>COUNTIFS(Tasks!$B$5:$B$100,A10,Tasks!$F$5:$F$100,"Failed")</f>
        <v/>
      </c>
      <c r="I10" s="31">
        <f>IF(E10=0,"",F10/E10)</f>
        <v/>
      </c>
      <c r="J10" s="31">
        <f>IF(E10=0,"",(F10+G10)/E10)</f>
        <v/>
      </c>
      <c r="K10" s="28">
        <f>IF(F10+G10=0,"",IFERROR((SUMIFS(Tasks!$G$5:$G$100,Tasks!$B$5:$B$100,A10,Tasks!$F$5:$F$100,"Completed")+SUMIFS(Tasks!$G$5:$G$100,Tasks!$B$5:$B$100,A10,Tasks!$F$5:$F$100,"Assisted"))/(COUNTIFS(Tasks!$B$5:$B$100,A10,Tasks!$F$5:$F$100,"Completed",Tasks!$G$5:$G$100,"&gt;=0")+COUNTIFS(Tasks!$B$5:$B$100,A10,Tasks!$F$5:$F$100,"Assisted",Tasks!$G$5:$G$100,"&gt;=0")),""))</f>
        <v/>
      </c>
      <c r="L10" s="27">
        <f>IF(E10=0,"",IFERROR(AVERAGEIFS(Tasks!$H$5:$H$100,Tasks!$B$5:$B$100,A10),""))</f>
        <v/>
      </c>
      <c r="M10" s="32">
        <f>IF(E10=0,"",IFERROR(AVERAGEIFS(Tasks!$I$5:$I$100,Tasks!$B$5:$B$100,A10),""))</f>
        <v/>
      </c>
      <c r="N10" s="21">
        <f>IF(M10="","",INDEX(Scales!$C$6:$C$10,MATCH(M10,Scales!$A$6:$A$10,1)))</f>
        <v/>
      </c>
    </row>
    <row r="11">
      <c r="A11" s="17" t="n">
        <v>7</v>
      </c>
      <c r="B11" s="30" t="inlineStr">
        <is>
          <t>Change ride preferences</t>
        </is>
      </c>
      <c r="C11" s="17" t="inlineStr">
        <is>
          <t>Supplementary</t>
        </is>
      </c>
      <c r="D11" s="30" t="inlineStr">
        <is>
          <t>Learnability</t>
        </is>
      </c>
      <c r="E11" s="28">
        <f>COUNTIFS(Tasks!$B$5:$B$100,A11,Tasks!$F$5:$F$100,"Completed")+COUNTIFS(Tasks!$B$5:$B$100,A11,Tasks!$F$5:$F$100,"Assisted")+COUNTIFS(Tasks!$B$5:$B$100,A11,Tasks!$F$5:$F$100,"Failed")</f>
        <v/>
      </c>
      <c r="F11" s="28">
        <f>COUNTIFS(Tasks!$B$5:$B$100,A11,Tasks!$F$5:$F$100,"Completed")</f>
        <v/>
      </c>
      <c r="G11" s="28">
        <f>COUNTIFS(Tasks!$B$5:$B$100,A11,Tasks!$F$5:$F$100,"Assisted")</f>
        <v/>
      </c>
      <c r="H11" s="28">
        <f>COUNTIFS(Tasks!$B$5:$B$100,A11,Tasks!$F$5:$F$100,"Failed")</f>
        <v/>
      </c>
      <c r="I11" s="31">
        <f>IF(E11=0,"",F11/E11)</f>
        <v/>
      </c>
      <c r="J11" s="31">
        <f>IF(E11=0,"",(F11+G11)/E11)</f>
        <v/>
      </c>
      <c r="K11" s="28">
        <f>IF(F11+G11=0,"",IFERROR((SUMIFS(Tasks!$G$5:$G$100,Tasks!$B$5:$B$100,A11,Tasks!$F$5:$F$100,"Completed")+SUMIFS(Tasks!$G$5:$G$100,Tasks!$B$5:$B$100,A11,Tasks!$F$5:$F$100,"Assisted"))/(COUNTIFS(Tasks!$B$5:$B$100,A11,Tasks!$F$5:$F$100,"Completed",Tasks!$G$5:$G$100,"&gt;=0")+COUNTIFS(Tasks!$B$5:$B$100,A11,Tasks!$F$5:$F$100,"Assisted",Tasks!$G$5:$G$100,"&gt;=0")),""))</f>
        <v/>
      </c>
      <c r="L11" s="27">
        <f>IF(E11=0,"",IFERROR(AVERAGEIFS(Tasks!$H$5:$H$100,Tasks!$B$5:$B$100,A11),""))</f>
        <v/>
      </c>
      <c r="M11" s="32">
        <f>IF(E11=0,"",IFERROR(AVERAGEIFS(Tasks!$I$5:$I$100,Tasks!$B$5:$B$100,A11),""))</f>
        <v/>
      </c>
      <c r="N11" s="21">
        <f>IF(M11="","",INDEX(Scales!$C$6:$C$10,MATCH(M11,Scales!$A$6:$A$10,1)))</f>
        <v/>
      </c>
    </row>
    <row r="12">
      <c r="A12" s="17" t="n">
        <v>8</v>
      </c>
      <c r="B12" s="30" t="inlineStr">
        <is>
          <t>Report a user and view report history</t>
        </is>
      </c>
      <c r="C12" s="17" t="inlineStr">
        <is>
          <t>Supplementary</t>
        </is>
      </c>
      <c r="D12" s="30" t="inlineStr">
        <is>
          <t>User error protection</t>
        </is>
      </c>
      <c r="E12" s="28">
        <f>COUNTIFS(Tasks!$B$5:$B$100,A12,Tasks!$F$5:$F$100,"Completed")+COUNTIFS(Tasks!$B$5:$B$100,A12,Tasks!$F$5:$F$100,"Assisted")+COUNTIFS(Tasks!$B$5:$B$100,A12,Tasks!$F$5:$F$100,"Failed")</f>
        <v/>
      </c>
      <c r="F12" s="28">
        <f>COUNTIFS(Tasks!$B$5:$B$100,A12,Tasks!$F$5:$F$100,"Completed")</f>
        <v/>
      </c>
      <c r="G12" s="28">
        <f>COUNTIFS(Tasks!$B$5:$B$100,A12,Tasks!$F$5:$F$100,"Assisted")</f>
        <v/>
      </c>
      <c r="H12" s="28">
        <f>COUNTIFS(Tasks!$B$5:$B$100,A12,Tasks!$F$5:$F$100,"Failed")</f>
        <v/>
      </c>
      <c r="I12" s="31">
        <f>IF(E12=0,"",F12/E12)</f>
        <v/>
      </c>
      <c r="J12" s="31">
        <f>IF(E12=0,"",(F12+G12)/E12)</f>
        <v/>
      </c>
      <c r="K12" s="28">
        <f>IF(F12+G12=0,"",IFERROR((SUMIFS(Tasks!$G$5:$G$100,Tasks!$B$5:$B$100,A12,Tasks!$F$5:$F$100,"Completed")+SUMIFS(Tasks!$G$5:$G$100,Tasks!$B$5:$B$100,A12,Tasks!$F$5:$F$100,"Assisted"))/(COUNTIFS(Tasks!$B$5:$B$100,A12,Tasks!$F$5:$F$100,"Completed",Tasks!$G$5:$G$100,"&gt;=0")+COUNTIFS(Tasks!$B$5:$B$100,A12,Tasks!$F$5:$F$100,"Assisted",Tasks!$G$5:$G$100,"&gt;=0")),""))</f>
        <v/>
      </c>
      <c r="L12" s="27">
        <f>IF(E12=0,"",IFERROR(AVERAGEIFS(Tasks!$H$5:$H$100,Tasks!$B$5:$B$100,A12),""))</f>
        <v/>
      </c>
      <c r="M12" s="32">
        <f>IF(E12=0,"",IFERROR(AVERAGEIFS(Tasks!$I$5:$I$100,Tasks!$B$5:$B$100,A12),""))</f>
        <v/>
      </c>
      <c r="N12" s="21">
        <f>IF(M12="","",INDEX(Scales!$C$6:$C$10,MATCH(M12,Scales!$A$6:$A$10,1)))</f>
        <v/>
      </c>
    </row>
    <row r="13">
      <c r="A13" s="2" t="n"/>
      <c r="B13" s="5" t="inlineStr">
        <is>
          <t>All core tasks</t>
        </is>
      </c>
      <c r="C13" s="2" t="n"/>
      <c r="D13" s="2" t="n"/>
      <c r="E13" s="33">
        <f>SUMIFS(E5:E12,$C$5:$C$12,"Core")</f>
        <v/>
      </c>
      <c r="F13" s="33">
        <f>SUMIFS(F5:F12,$C$5:$C$12,"Core")</f>
        <v/>
      </c>
      <c r="G13" s="33">
        <f>SUMIFS(G5:G12,$C$5:$C$12,"Core")</f>
        <v/>
      </c>
      <c r="H13" s="33">
        <f>SUMIFS(H5:H12,$C$5:$C$12,"Core")</f>
        <v/>
      </c>
      <c r="I13" s="34">
        <f>IF(E13=0,"",F13/E13)</f>
        <v/>
      </c>
      <c r="J13" s="34">
        <f>IF(E13=0,"",(F13+G13)/E13)</f>
        <v/>
      </c>
      <c r="K13" s="2" t="n"/>
      <c r="L13" s="2" t="n"/>
      <c r="M13" s="2" t="n"/>
      <c r="N13" s="2" t="n"/>
    </row>
    <row r="14">
      <c r="A14" s="2" t="n"/>
      <c r="B14" s="19" t="inlineStr">
        <is>
          <t>Unassisted success = Completed / Attempted. Overall success counts Assisted as a success. Mean time uses successful attempts only.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5" t="inlineStr">
        <is>
          <t>Usability by ISO/IEC 25010 sub-characteristic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15" t="inlineStr">
        <is>
          <t>Sub-characteristic</t>
        </is>
      </c>
      <c r="C16" s="2" t="n"/>
      <c r="D16" s="2" t="n"/>
      <c r="E16" s="15" t="inlineStr">
        <is>
          <t>Ratings</t>
        </is>
      </c>
      <c r="F16" s="15" t="inlineStr">
        <is>
          <t>Mean ease</t>
        </is>
      </c>
      <c r="G16" s="15" t="inlineStr">
        <is>
          <t>Interpretation</t>
        </is>
      </c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30" t="inlineStr">
        <is>
          <t>Appropriateness recognizability</t>
        </is>
      </c>
      <c r="C17" s="2" t="n"/>
      <c r="D17" s="2" t="n"/>
      <c r="E17" s="28">
        <f>COUNTIFS(Tasks!$E$5:$E$100,B17,Tasks!$I$5:$I$100,"&gt;=1")</f>
        <v/>
      </c>
      <c r="F17" s="32">
        <f>IF(E17=0,"",AVERAGEIFS(Tasks!$I$5:$I$100,Tasks!$E$5:$E$100,B17))</f>
        <v/>
      </c>
      <c r="G17" s="21">
        <f>IF(F17="","",INDEX(Scales!$C$6:$C$10,MATCH(F17,Scales!$A$6:$A$10,1)))</f>
        <v/>
      </c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30" t="inlineStr">
        <is>
          <t>Learnability</t>
        </is>
      </c>
      <c r="C18" s="2" t="n"/>
      <c r="D18" s="2" t="n"/>
      <c r="E18" s="28">
        <f>COUNTIFS(Tasks!$E$5:$E$100,B18,Tasks!$I$5:$I$100,"&gt;=1")</f>
        <v/>
      </c>
      <c r="F18" s="32">
        <f>IF(E18=0,"",AVERAGEIFS(Tasks!$I$5:$I$100,Tasks!$E$5:$E$100,B18))</f>
        <v/>
      </c>
      <c r="G18" s="21">
        <f>IF(F18="","",INDEX(Scales!$C$6:$C$10,MATCH(F18,Scales!$A$6:$A$10,1)))</f>
        <v/>
      </c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30" t="inlineStr">
        <is>
          <t>Operability</t>
        </is>
      </c>
      <c r="C19" s="2" t="n"/>
      <c r="D19" s="2" t="n"/>
      <c r="E19" s="28">
        <f>COUNTIFS(Tasks!$E$5:$E$100,B19,Tasks!$I$5:$I$100,"&gt;=1")</f>
        <v/>
      </c>
      <c r="F19" s="32">
        <f>IF(E19=0,"",AVERAGEIFS(Tasks!$I$5:$I$100,Tasks!$E$5:$E$100,B19))</f>
        <v/>
      </c>
      <c r="G19" s="21">
        <f>IF(F19="","",INDEX(Scales!$C$6:$C$10,MATCH(F19,Scales!$A$6:$A$10,1)))</f>
        <v/>
      </c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30" t="inlineStr">
        <is>
          <t>User error protection</t>
        </is>
      </c>
      <c r="C20" s="2" t="n"/>
      <c r="D20" s="2" t="n"/>
      <c r="E20" s="28">
        <f>COUNTIFS(Tasks!$E$5:$E$100,B20,Tasks!$I$5:$I$100,"&gt;=1")</f>
        <v/>
      </c>
      <c r="F20" s="32">
        <f>IF(E20=0,"",AVERAGEIFS(Tasks!$I$5:$I$100,Tasks!$E$5:$E$100,B20))</f>
        <v/>
      </c>
      <c r="G20" s="21">
        <f>IF(F20="","",INDEX(Scales!$C$6:$C$10,MATCH(F20,Scales!$A$6:$A$10,1)))</f>
        <v/>
      </c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35" t="inlineStr">
        <is>
          <t>System Usability Scale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5" t="inlineStr">
        <is>
          <t>Participants scored (n)</t>
        </is>
      </c>
      <c r="C23" s="2" t="n"/>
      <c r="D23" s="2" t="n"/>
      <c r="E23" s="28">
        <f>SUS!$E$18</f>
        <v/>
      </c>
      <c r="F23" s="29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5" t="inlineStr">
        <is>
          <t>Mean SUS score</t>
        </is>
      </c>
      <c r="C24" s="2" t="n"/>
      <c r="D24" s="2" t="n"/>
      <c r="E24" s="27">
        <f>SUS!$E$19</f>
        <v/>
      </c>
      <c r="F24" s="29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5" t="inlineStr">
        <is>
          <t>Standard deviation</t>
        </is>
      </c>
      <c r="C25" s="2" t="n"/>
      <c r="D25" s="2" t="n"/>
      <c r="E25" s="27">
        <f>SUS!$E$20</f>
        <v/>
      </c>
      <c r="F25" s="29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5" t="inlineStr">
        <is>
          <t>Adjective rating</t>
        </is>
      </c>
      <c r="C26" s="2" t="n"/>
      <c r="D26" s="2" t="n"/>
      <c r="E26" s="21">
        <f>IF(SUS!$E$19="","",INDEX(Scales!$B$15:$B$21,MATCH(SUS!$E$19,Scales!$A$15:$A$21,1)))</f>
        <v/>
      </c>
      <c r="F26" s="29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5" t="inlineStr">
        <is>
          <t>Acceptability</t>
        </is>
      </c>
      <c r="C27" s="2" t="n"/>
      <c r="D27" s="2" t="n"/>
      <c r="E27" s="21">
        <f>IF(SUS!$E$19="","",INDEX(Scales!$B$26:$B$28,MATCH(SUS!$E$19,Scales!$A$26:$A$28,1)))</f>
        <v/>
      </c>
      <c r="F27" s="29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5" t="inlineStr">
        <is>
          <t>Meets the 68 threshold?</t>
        </is>
      </c>
      <c r="C28" s="2" t="n"/>
      <c r="D28" s="2" t="n"/>
      <c r="E28" s="21">
        <f>IF(SUS!$E$19="","",IF(SUS!$E$19&gt;=Scales!$B$31,"Yes","No"))</f>
        <v/>
      </c>
      <c r="F28" s="29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19" t="inlineStr">
        <is>
          <t>Pilot sample: report as indicative, not statistically significant (per the manuscript's evaluation section).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</sheetData>
  <mergeCells count="6">
    <mergeCell ref="E24:F24"/>
    <mergeCell ref="E25:F25"/>
    <mergeCell ref="E27:F27"/>
    <mergeCell ref="E28:F28"/>
    <mergeCell ref="E23:F23"/>
    <mergeCell ref="E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2026-09-30T08:58:40Z</dcterms:created>
  <dcterms:modified xmlns:dcterms="http://purl.org/dc/terms/" xmlns:xsi="http://www.w3.org/2001/XMLSchema-instance" xsi:type="dcterms:W3CDTF">2026-09-30T08:58:40Z</dcterms:modified>
</cp:coreProperties>
</file>